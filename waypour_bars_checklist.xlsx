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milanmeert/Desktop/koffiestop/"/>
    </mc:Choice>
  </mc:AlternateContent>
  <xr:revisionPtr revIDLastSave="0" documentId="13_ncr:1_{81864846-2789-CF41-9FD6-AFE026AB0562}" xr6:coauthVersionLast="47" xr6:coauthVersionMax="47" xr10:uidLastSave="{00000000-0000-0000-0000-000000000000}"/>
  <bookViews>
    <workbookView xWindow="0" yWindow="0" windowWidth="28800" windowHeight="18000" tabRatio="500" activeTab="1" xr2:uid="{00000000-000D-0000-FFFF-FFFF00000000}"/>
  </bookViews>
  <sheets>
    <sheet name="Uitleg" sheetId="1" r:id="rId1"/>
    <sheet name="Bars" sheetId="2" r:id="rId2"/>
    <sheet name="Overzicht" sheetId="3" r:id="rId3"/>
  </sheets>
  <definedNames>
    <definedName name="_xlnm._FilterDatabase" localSheetId="1" hidden="1">Bars!$A$1:$L$103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" i="3" l="1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G5" i="3"/>
  <c r="F5" i="3"/>
  <c r="E5" i="3"/>
  <c r="D5" i="3"/>
  <c r="C5" i="3"/>
  <c r="B5" i="3"/>
  <c r="G4" i="3"/>
  <c r="F4" i="3"/>
  <c r="E4" i="3"/>
  <c r="D4" i="3"/>
  <c r="C4" i="3"/>
  <c r="B4" i="3"/>
  <c r="G3" i="3"/>
  <c r="F3" i="3"/>
  <c r="E3" i="3"/>
  <c r="D3" i="3"/>
  <c r="C3" i="3"/>
  <c r="B3" i="3"/>
  <c r="G2" i="3"/>
  <c r="G9" i="3" s="1"/>
  <c r="F2" i="3"/>
  <c r="F9" i="3" s="1"/>
  <c r="E2" i="3"/>
  <c r="E9" i="3" s="1"/>
  <c r="D2" i="3"/>
  <c r="D9" i="3" s="1"/>
  <c r="C2" i="3"/>
  <c r="C9" i="3" s="1"/>
  <c r="B2" i="3"/>
  <c r="B9" i="3" s="1"/>
</calcChain>
</file>

<file path=xl/sharedStrings.xml><?xml version="1.0" encoding="utf-8"?>
<sst xmlns="http://schemas.openxmlformats.org/spreadsheetml/2006/main" count="834" uniqueCount="340">
  <si>
    <t>Hoe gebruik je dit bestand?</t>
  </si>
  <si>
    <t>Tabblad "Bars": één rij per zichtbare bar (België + Costa Blanca), gesorteerd per regio. Filter bovenaan om bv. alleen Gent te zien.</t>
  </si>
  <si>
    <t>Kolommen E–F: wat we nu denken. Ja = groen, Nee = grijs, ? = geel (onbekend, zeker even checken).</t>
  </si>
  <si>
    <t>Kolom G: waarop dat gebaseerd is, en wat je ter plaatse best nakijkt. Kolom H: link naar de bron.</t>
  </si>
  <si>
    <t>Gele kolommen I–L vul JIJ in als je er bent: datum, je eigen oordeel (keuzelijst Ja/Nee/?) en een opmerking.</t>
  </si>
  <si>
    <t>Voorbeeld van een ingevulde rij (I–L):</t>
  </si>
  <si>
    <t>Bezocht op: 12/10/2026 · 💻 Klopt?: Nee · 🚴 Klopt?: Ja · Opmerking: "Geen stopcontacten, wel 2 fietsenrekken voor de deur"</t>
  </si>
  <si>
    <t>Wat telt als...</t>
  </si>
  <si>
    <t>💻 PC-friendly: wifi, stopcontacten, genoeg plaats en laptops toegelaten (minstens op weekdagen).</t>
  </si>
  <si>
    <t>🚴 Cycling-friendly: fietsers welkom: fietsenrek of fiets in het zicht, wieler-sfeer of -club, of een vaste stop op populaire fietsroutes.</t>
  </si>
  <si>
    <t>Klaar? Stuur het bestand terug naar Claude: de verschillen worden dan in één script in de app gezet.</t>
  </si>
  <si>
    <t>Regio</t>
  </si>
  <si>
    <t>Plaats</t>
  </si>
  <si>
    <t>Bar</t>
  </si>
  <si>
    <t>Adres</t>
  </si>
  <si>
    <t>💻 PC-friendly</t>
  </si>
  <si>
    <t>🚴 Cycling-friendly</t>
  </si>
  <si>
    <t>Notitie (wat we weten)</t>
  </si>
  <si>
    <t>Bron</t>
  </si>
  <si>
    <t>✔ Bezocht op</t>
  </si>
  <si>
    <t>💻 Klopt? (mijn oordeel)</t>
  </si>
  <si>
    <t>🚴 Klopt? (mijn oordeel)</t>
  </si>
  <si>
    <t>Mijn opmerking ter plaatse</t>
  </si>
  <si>
    <t>Antwerpen</t>
  </si>
  <si>
    <t>Andy Roasters</t>
  </si>
  <si>
    <t>Amerikalei 82</t>
  </si>
  <si>
    <t>?</t>
  </si>
  <si>
    <t>Geen info over wifi/laptops of fietsen gevonden; retro-interieur, open vanaf 7u30. Ter plaatse: wifi, stopcontacten, fietsenrek.</t>
  </si>
  <si>
    <t>link</t>
  </si>
  <si>
    <t>Black &amp; Yellow</t>
  </si>
  <si>
    <t>Nassaustraat 7</t>
  </si>
  <si>
    <t>Ja</t>
  </si>
  <si>
    <t>Gratis wifi, laptop friendly; wo en za gesloten. Ter plaatse: stopcontacten, fietsenrek?</t>
  </si>
  <si>
    <t>Botellón</t>
  </si>
  <si>
    <t>Waalsekaai 45A, 2000 Antwerpen</t>
  </si>
  <si>
    <t>Nee</t>
  </si>
  <si>
    <t>Geen specialty koffiebar; één review is negatief over de koffie.</t>
  </si>
  <si>
    <t>Caffènation</t>
  </si>
  <si>
    <t>Mechelsesteenweg 16</t>
  </si>
  <si>
    <t>Elle: twee verdiepingen, veel werkplek; gratis wifi. Ter plaatse: stopcontacten, fietsenrek?</t>
  </si>
  <si>
    <t>Caffènation Roastery</t>
  </si>
  <si>
    <t>Lamorinièrestraat 161</t>
  </si>
  <si>
    <t>Wifi, stopcontacten, coworking-vriendelijk volgens nomadensite; wel lawaaierig (branderij). Ter plaatse: fietsenrek?</t>
  </si>
  <si>
    <t>Café Canelé</t>
  </si>
  <si>
    <t>Kronenburgstraat 41D, 2000 Antwerpen</t>
  </si>
  <si>
    <t>Fuel South</t>
  </si>
  <si>
    <t>Waalsekaai 27, 2000 Antwerpen</t>
  </si>
  <si>
    <t>Niet zeker. Eerder een healthy restaurant dan een koffiebar. Wielercafé stond niet ingevuld: geen bron, dus 'nee'.</t>
  </si>
  <si>
    <t>Funk Berchem</t>
  </si>
  <si>
    <t>Belpairestraat 10, 2600 Berchem</t>
  </si>
  <si>
    <t>Huisnummer 10 of 20: ter plaatse checken.</t>
  </si>
  <si>
    <t>Funk Zuid</t>
  </si>
  <si>
    <t>Kronenburgstraat 41A, 2000 Antwerpen</t>
  </si>
  <si>
    <t>Koffie Dealers</t>
  </si>
  <si>
    <t>Paardenmarkt 117</t>
  </si>
  <si>
    <t>Goede wifi, veel stopcontacten, werktafels (75% laptopvriendelijk). Ter plaatse: weekendbeleid, fietsenrek?</t>
  </si>
  <si>
    <t>Kolonel &amp; Reede</t>
  </si>
  <si>
    <t>Ankerrui 15</t>
  </si>
  <si>
    <t>Ruim, grote ramen; vanaf 16u wijnbar. Geen info wifi/laptops. Ter plaatse: wifi, stopcontacten, fietsenrek?</t>
  </si>
  <si>
    <t>Kolonel Coffee</t>
  </si>
  <si>
    <t>Montignystraat 51</t>
  </si>
  <si>
    <t>Elle: laptopvriendelijk, bar aan het raam, veel daglicht. Ter plaatse: stopcontacten, fietsenrek?</t>
  </si>
  <si>
    <t>Nives</t>
  </si>
  <si>
    <t>Harmoniestraat 25B</t>
  </si>
  <si>
    <t>Wifi, werken mag, ruim interieur; ELLE-tip om te telewerken. Terras aan Harmoniepark. Ter plaatse: stopcontacten, fietsenrek?</t>
  </si>
  <si>
    <t>Nordica 31</t>
  </si>
  <si>
    <t>Belegstraat 31, 2018 Antwerpen</t>
  </si>
  <si>
    <t>Normo</t>
  </si>
  <si>
    <t>Minderbroedersrui 30</t>
  </si>
  <si>
    <t>Werkspotgids: kleine marmeren tafeltjes, eerder voor kort bezoek. Wifi/stopcontacten onbekend. Ter plaatse: wifi, fietsenrek?</t>
  </si>
  <si>
    <t>Polly</t>
  </si>
  <si>
    <t>Cuperusstraat 1, 2018 Antwerpen</t>
  </si>
  <si>
    <t>Rush Rush</t>
  </si>
  <si>
    <t>Lange Altaarstraat 29</t>
  </si>
  <si>
    <t>Gratis wifi, laptopvriendelijk (ECT), rustig volgens ELLE-telewerklijst. Ter plaatse: stopcontacten, fietsenrek?</t>
  </si>
  <si>
    <t>Tartoer</t>
  </si>
  <si>
    <t>Korte Koepoortstraat 2</t>
  </si>
  <si>
    <t>Stabiele wifi, matig stopcontacten, weinig ruimte (58% laptopvriendelijk). Ter plaatse: laptopbeleid, fietsenrek?</t>
  </si>
  <si>
    <t>Tinsel</t>
  </si>
  <si>
    <t>Sint-Paulusplaats 30, 2000 Antwerpen</t>
  </si>
  <si>
    <t>Druk brunchadres; laptop komt uit jouw notitie.</t>
  </si>
  <si>
    <t>Vitesse Coffee &amp; Cycling</t>
  </si>
  <si>
    <t>Provinciestraat 82</t>
  </si>
  <si>
    <t>Wifi, veel stopcontacten, grote tafels; wielerdecor en koersfietsen. Ter plaatse: fietsenrek?</t>
  </si>
  <si>
    <t>Gent</t>
  </si>
  <si>
    <t>Bar Bidon</t>
  </si>
  <si>
    <t>Bisdomkaai 25</t>
  </si>
  <si>
    <t>Bidon Coffee &amp; Bicycle: wielerthema; gratis wifi, stopcontacten, ruim. Ter plaatse: fietsenrek, drukte weekend?</t>
  </si>
  <si>
    <t>Café Labath</t>
  </si>
  <si>
    <t>Oude Houtlei 1</t>
  </si>
  <si>
    <t>Gratis wifi (code vragen), als laptopvriendelijk vermeld. Ter plaatse: stopcontacten, fietsenrek?</t>
  </si>
  <si>
    <t>Full Circle Coffee</t>
  </si>
  <si>
    <t>Zuidstationstraat 5</t>
  </si>
  <si>
    <t>Gratis wifi, 'good for laptop', binnen en buiten zitten (bron aggregator); alleen kaart. Ter plaatse: stopcontacten, fietsenrek?</t>
  </si>
  <si>
    <t>Goya Coffee</t>
  </si>
  <si>
    <t>Verlorenkost 5</t>
  </si>
  <si>
    <t>Wifi, 'perfecte plek om te werken' volgens Koffietje. Ter plaatse: stopcontacten, fietsenrek?</t>
  </si>
  <si>
    <t>Koffeine</t>
  </si>
  <si>
    <t>Lange Kruisstraat 6</t>
  </si>
  <si>
    <t>Kleine zaak, geen info over wifi of laptops gevonden. Ter plaatse: wifi, stopcontacten, plaats?</t>
  </si>
  <si>
    <t>OR Coffee</t>
  </si>
  <si>
    <t>Sint-Pietersnieuwstraat 126A</t>
  </si>
  <si>
    <t>Wifi, 'perfecte plek om te werken', studenten met laptops. Ter plaatse: stopcontacten, fietsenrek?</t>
  </si>
  <si>
    <t>OR Espresso Bar</t>
  </si>
  <si>
    <t>Dok-Noord 7</t>
  </si>
  <si>
    <t>Volgens Wanderlog definitief gesloten; ook niet meer op OR-site. Verifiëren en eventueel verwijderen.</t>
  </si>
  <si>
    <t>Take Five Espressobar</t>
  </si>
  <si>
    <t>Voldersstraat 10</t>
  </si>
  <si>
    <t>Wifi, laptops toegestaan, tafelbediening; klein en druk. Ter plaatse: stopcontacten, fietsenstalling in voetgangerszone.</t>
  </si>
  <si>
    <t>Vandekerckhove &amp; Bar</t>
  </si>
  <si>
    <t>Brabantdam 55</t>
  </si>
  <si>
    <t>Wifi en flexwerken vermeld, maar klein barretje. Ter plaatse: stopcontacten, fietsenrek?</t>
  </si>
  <si>
    <t>WAY Coffee</t>
  </si>
  <si>
    <t>Voldersstraat 58</t>
  </si>
  <si>
    <t>Geen tafeltjes, geen wifi, vooral coffee to go. Ter plaatse: fietsenrek in straat?</t>
  </si>
  <si>
    <t>WAY Roasters</t>
  </si>
  <si>
    <t>Dok Noord 4E</t>
  </si>
  <si>
    <t>Gratis wifi, laptopvriendelijk, ruim, terras (European Coffee Trip). Ter plaatse: stopcontacten, fietsenrek?</t>
  </si>
  <si>
    <t>Brussel</t>
  </si>
  <si>
    <t>Aksum</t>
  </si>
  <si>
    <t>Koninginnegalerij</t>
  </si>
  <si>
    <t>Laptopvriendelijk volgens gids: gratis wifi, stopcontacten; klein zaakje in galerij. Ter plaatse: plaats, fietsparkeren?</t>
  </si>
  <si>
    <t>Barkboy</t>
  </si>
  <si>
    <t>Onderrichtsstraat 20, 1000 Brussel</t>
  </si>
  <si>
    <t>Batch</t>
  </si>
  <si>
    <t>Waterloosesteenweg 559, 1050 Elsene</t>
  </si>
  <si>
    <t>Eerder restaurant; ma dicht, di alleen 's avonds.</t>
  </si>
  <si>
    <t>Belga &amp; Co</t>
  </si>
  <si>
    <t>Baljuwstraat, Elsene</t>
  </si>
  <si>
    <t>Freelancers werken er uren met laptop; tuin. Ter plaatse: stopcontacten, fietsenrek?</t>
  </si>
  <si>
    <t>Belga &amp; Co Boniface</t>
  </si>
  <si>
    <t>Ernest Solvaystraat 12, 1050 Elsene</t>
  </si>
  <si>
    <t>Andere zaak dan Belga &amp; Co aan de Baljuwstraat. Goede wifi, maar laptops niet welkom als het druk is.</t>
  </si>
  <si>
    <t>Bouche</t>
  </si>
  <si>
    <t>Naamsestraat 4, 1000 Brussel</t>
  </si>
  <si>
    <t>Bouche Saint-Géry</t>
  </si>
  <si>
    <t>Sint-Goriks</t>
  </si>
  <si>
    <t>Bouche: laptops enkel weekdagen, ±4 werkplekken (review Namenstraat-adres). Ter plaatse: geldt dit ook Sint-Goriks?</t>
  </si>
  <si>
    <t>Buddy Buddy</t>
  </si>
  <si>
    <t>Lakenweversstraat 10, 1050 Elsene</t>
  </si>
  <si>
    <t>Er is gratis wifi; jij zei nee.</t>
  </si>
  <si>
    <t>Café de la Presse</t>
  </si>
  <si>
    <t>Kardinaal Mercierstraat 41, 1000 Brussel</t>
  </si>
  <si>
    <t>Cyclovia</t>
  </si>
  <si>
    <t>Waterloosesteenweg 521, Elsene</t>
  </si>
  <si>
    <t>Koersfietsenmaker met koffiebar; geen info over wifi of zitplaatsen gevonden. Ter plaatse: wifi, tafels?</t>
  </si>
  <si>
    <t>Drache</t>
  </si>
  <si>
    <t>Brandhoutkaai 11, 1000 Brussel</t>
  </si>
  <si>
    <t>Een bron noemt het geschikt voor een laptoppauze; jij zei nee. Pas aan als je wil.</t>
  </si>
  <si>
    <t>Eight Brussels</t>
  </si>
  <si>
    <t>Kernstraat 48, 1000 Brussel</t>
  </si>
  <si>
    <t>Fietsstop komt uit jouw notitie; geen bron.</t>
  </si>
  <si>
    <t>Frank.</t>
  </si>
  <si>
    <t>Zavel</t>
  </si>
  <si>
    <t>Gratis wifi, brunchzaak; adres lijkt Prinsenstraat 14 (Munt), niet Zavel. Ter plaatse: laptopbeleid, stopcontacten, fietsenrek.</t>
  </si>
  <si>
    <t>Grain Bakery</t>
  </si>
  <si>
    <t>Charleroise Steenweg 174, 1060 Sint-Gillis</t>
  </si>
  <si>
    <t>Bakkerij met koffie; laptopbeleid onbekend.</t>
  </si>
  <si>
    <t>Grain Flagey</t>
  </si>
  <si>
    <t>Lesbroussartstraat 27, 1050 Elsene</t>
  </si>
  <si>
    <t>Hors Catégorie Bosvoorde</t>
  </si>
  <si>
    <t>Watermaal-Bosvoorde</t>
  </si>
  <si>
    <t>Tweede HC-vestiging in Bosvoorde niet bevestigd online; enkel Elsene gevonden. Ter plaatse: bestaat deze nog?</t>
  </si>
  <si>
    <t>Hors Catégorie Elsene</t>
  </si>
  <si>
    <t>Elsene</t>
  </si>
  <si>
    <t>Fietscafé Fritz Toussaintstraat 8: verkoop, herstel, DIY-werkplaats; ma-vr 9-18u. Wifi onbekend. Ter plaatse: wifi?</t>
  </si>
  <si>
    <t>Jackie</t>
  </si>
  <si>
    <t>Charleroise Steenweg 203, 1060 Sint-Gillis</t>
  </si>
  <si>
    <t>Kosto</t>
  </si>
  <si>
    <t>Akenkaai 35, 1000 Brussel</t>
  </si>
  <si>
    <t>Mains Boulangerie au Levain</t>
  </si>
  <si>
    <t>Kazernenlaan 61, 1040 Etterbeek</t>
  </si>
  <si>
    <t>Mains Sourdough Bakery</t>
  </si>
  <si>
    <t>Waterloosesteenweg 887, 1180 Ukkel</t>
  </si>
  <si>
    <t>Maar een paar stoelen. Fietsstop komt uit jouw notitie.</t>
  </si>
  <si>
    <t>Miette</t>
  </si>
  <si>
    <t>De Frélaan 100, 1180 Ukkel</t>
  </si>
  <si>
    <t>Wifi bevestigd. 'Stop op een rit' komt uit jouw notitie.</t>
  </si>
  <si>
    <t>MOK Coffee</t>
  </si>
  <si>
    <t>Dansaertwijk</t>
  </si>
  <si>
    <t>Achterruimte geschikt voor laptop, 'good for working'. Ter plaatse: wifi, stopcontacten, fietsenrek?</t>
  </si>
  <si>
    <t>Seven Cinquantenaire</t>
  </si>
  <si>
    <t>Oudergemlaan 68, 1040 Etterbeek</t>
  </si>
  <si>
    <t>Stella</t>
  </si>
  <si>
    <t>Charleroise Steenweg 73, 1060 Sint-Gillis</t>
  </si>
  <si>
    <t>Niet zeker. Adres verbeterd (Oudergemlaan 68 is Seven). Eerst checken of nr. 73 nog open is.</t>
  </si>
  <si>
    <t>Terres de Café Sablon</t>
  </si>
  <si>
    <t>Geen info over wifi, laptops of fietsen gevonden; wel terras. Ter plaatse: alles checken.</t>
  </si>
  <si>
    <t>The Wayne Coffee</t>
  </si>
  <si>
    <t>Van Eyckstraat 30, 1000 Brussel</t>
  </si>
  <si>
    <t>Laptop komt uit jouw notitie; geen bron.</t>
  </si>
  <si>
    <t>Wide Awake Flagey</t>
  </si>
  <si>
    <t>Lesbroussartstraat 34, 1050 Elsene</t>
  </si>
  <si>
    <t>Kleine bistrotafels: laptop kan, maar druk.</t>
  </si>
  <si>
    <t>Leuven</t>
  </si>
  <si>
    <t>Café Soigneur</t>
  </si>
  <si>
    <t>Pater Damiaanplein 2, 3000 Leuven</t>
  </si>
  <si>
    <t>Fietscafé met koersfietsen aan de muur, social rides en wielerquizzen. Wifi niet vermeld op site; ter plaatse checken.</t>
  </si>
  <si>
    <t>Koffie Onan</t>
  </si>
  <si>
    <t>Parijsstraat 28, 3000 Leuven</t>
  </si>
  <si>
    <t>Bar en winkel in één, geen info over wifi of laptops gevonden. Ter plaatse: zitplaatsen, wifi, fietsenrek?</t>
  </si>
  <si>
    <t>Madmum Coffee Roasters Vaartkom</t>
  </si>
  <si>
    <t>Vaartkom 33, 3000 Leuven</t>
  </si>
  <si>
    <t>Gratis wifi, laptopvriendelijk, ruim en licht met veel zitplaatsen. Ter plaatse: stopcontacten, fietsenrek?</t>
  </si>
  <si>
    <t>MOK Specialty Coffee Roastery &amp; Bar</t>
  </si>
  <si>
    <t>Diestsestraat 165, 3000 Leuven</t>
  </si>
  <si>
    <t>Site: 'nice atmosphere to work', terras. Staat in Gobik-fietsgids. Ter plaatse: wifi, stopcontacten, fietsenrek?</t>
  </si>
  <si>
    <t>Noir Coffeebar</t>
  </si>
  <si>
    <t>Naamsestraat 49, 3000 Leuven</t>
  </si>
  <si>
    <t>Snelle wifi, veel stopcontacten, studeerzone maar ook no-laptoptafels; druk. Geen fietsbewijs gevonden. Ter plaatse: fietsenrek?</t>
  </si>
  <si>
    <t>Knokke</t>
  </si>
  <si>
    <t>Brazila</t>
  </si>
  <si>
    <t>Lippenslaan 126, 8300 Knokke-Heist</t>
  </si>
  <si>
    <t>Branderij met terras; geen info over wifi of fietsers. Ter plaatse: wifi, stopcontacten, fietsenrek?</t>
  </si>
  <si>
    <t>De Brasserie</t>
  </si>
  <si>
    <t>Vlamingstraat 30, 8301 Knokke-Heist</t>
  </si>
  <si>
    <t>Brasserie met terras, takeaway; site zegt niets over wifi of fietsen. Ter plaatse: wifi, fietsenrek?</t>
  </si>
  <si>
    <t>Jack's Café</t>
  </si>
  <si>
    <t>Lippenslaan 228, 8300 Knokke-Heist</t>
  </si>
  <si>
    <t>Koffiebar in kledingwinkel; geen info over wifi of fietsen. Ter plaatse: wifi, zitplaatsen, fietsenrek?</t>
  </si>
  <si>
    <t>Marie-Rose Bakery Café</t>
  </si>
  <si>
    <t>Dumortierlaan 131, 8300 Knokke-Heist</t>
  </si>
  <si>
    <t>Urban bakery-café met terras; geen info over wifi of fietsen. Ter plaatse: wifi, fietsenrek?</t>
  </si>
  <si>
    <t>Moeder Babelutte Café</t>
  </si>
  <si>
    <t>Graaf d'Ursellaan 6, 8301 Knokke-Heist</t>
  </si>
  <si>
    <t>Gebak- en terrascafé, geen info over wifi of laptops. Ter plaatse: wifi, stopcontacten, fietsenstalling?</t>
  </si>
  <si>
    <t>Rest van België</t>
  </si>
  <si>
    <t>Aalst</t>
  </si>
  <si>
    <t>Bar Blend</t>
  </si>
  <si>
    <t>Kattestraat 51, 9300 Aalst</t>
  </si>
  <si>
    <t>Laptop en fietsers komen uit jouw notitie; geen bron.</t>
  </si>
  <si>
    <t>De Bevoorrading</t>
  </si>
  <si>
    <t>Molenstraat 44, 9300 Aalst</t>
  </si>
  <si>
    <t>Verhuisd in 2021; wielerdecor alleen bevestigd op het oude adres.</t>
  </si>
  <si>
    <t>KOP koffiezaak</t>
  </si>
  <si>
    <t>Keizersplein 3, 9300 Aalst</t>
  </si>
  <si>
    <t>Philimonius</t>
  </si>
  <si>
    <t>Louis D'Haeseleerstraat 8, 9300 Aalst</t>
  </si>
  <si>
    <t>Juiste schrijfwijze: Philimonius.</t>
  </si>
  <si>
    <t>Dendermonde</t>
  </si>
  <si>
    <t>Klik Coffee &amp; Treats</t>
  </si>
  <si>
    <t>Bogaerdstraat 13, 9200 Dendermonde</t>
  </si>
  <si>
    <t>Niet zeker. Zou eind oktober 2026 sluiten (uitbater verhuist naar Spanje): eerst checken.</t>
  </si>
  <si>
    <t>Zjat Kaffé</t>
  </si>
  <si>
    <t>Oude Vest 170, 9200 Dendermonde</t>
  </si>
  <si>
    <t>Laptop en fietsers komen uit jouw notitie.</t>
  </si>
  <si>
    <t>Dilbeek</t>
  </si>
  <si>
    <t>Skuim</t>
  </si>
  <si>
    <t>Gemeenteplein 5, 1700 Dilbeek</t>
  </si>
  <si>
    <t>Niet zeker. Een bron geeft Verheydenstraat 59 als adres. Weinig info gevonden: schrijf zelf een beter tekstje.</t>
  </si>
  <si>
    <t>Grimbergen</t>
  </si>
  <si>
    <t>Club Twee</t>
  </si>
  <si>
    <t>Beigemsesteenweg 2, 1850 Grimbergen</t>
  </si>
  <si>
    <t>Halle</t>
  </si>
  <si>
    <t>Blondies</t>
  </si>
  <si>
    <t>Melkstraat 3, 1500 Halle</t>
  </si>
  <si>
    <t>Open sinds december 2025.</t>
  </si>
  <si>
    <t>hellingen</t>
  </si>
  <si>
    <t>'t Juiste Verzet</t>
  </si>
  <si>
    <t>Oude Kwaremont, Kluisbergen</t>
  </si>
  <si>
    <t>Koerscafé aan voet Oude Kwaremont; normaal B&amp;B, café enkel 1e zondag v/d maand + Ronde. Ter plaatse: openingsdagen.</t>
  </si>
  <si>
    <t>'t Nief Veloken</t>
  </si>
  <si>
    <t>Let op: ligt in Kemzekedorp 54 (Stekene), niet Kwaremont. Fietscafé+herstelling, wifi, stopcontacten, e-bikeladen.</t>
  </si>
  <si>
    <t>'t Velohofke</t>
  </si>
  <si>
    <t>Tongeren</t>
  </si>
  <si>
    <t>Fietscafé aan knooppunt 132, doe-het-zelf werkplaats, e-bike laden; april-sept open. Wifi onbekend. Ter plaatse: wifi?</t>
  </si>
  <si>
    <t>Après-Velo</t>
  </si>
  <si>
    <t>Parike</t>
  </si>
  <si>
    <t>Wielercafé met fietsenstalling en terras; enkel zondag open 10-20u. Ter plaatse: wifi?</t>
  </si>
  <si>
    <t>Bar Gidon</t>
  </si>
  <si>
    <t>Geraardsbergen</t>
  </si>
  <si>
    <t>Wielercafé van ex-prof Frederic Penne op de Markt aan de voet van de Muur, veel koersmemorabilia. Laptop onduidelijk; fietsenrek checken.</t>
  </si>
  <si>
    <t>D'Oude Hoeve</t>
  </si>
  <si>
    <t>Ronde van Vlaanderenstraat, Kwaremont</t>
  </si>
  <si>
    <t>Fietscafé aan de Oude Kwaremont met douches en fietsgereedschap. Laptop/wifi onbekend; ter plaatse checken.</t>
  </si>
  <si>
    <t>Falco</t>
  </si>
  <si>
    <t>Fietsbar/club aan Beestenmarkt Halle, organiseert ritten door Pajottenland. Wifi/laptop onbekend; ter plaatse checken.</t>
  </si>
  <si>
    <t>Flandrien Hotel</t>
  </si>
  <si>
    <t>Brakel</t>
  </si>
  <si>
    <t>Wielerhotel: beveiligde fietsstalling, fietswasplaats, werkplaats, verhuur. Wifi in kamers; clubhouse voor niet-gasten?</t>
  </si>
  <si>
    <t>Koerscafé Centrum Ronde van Vlaanderen</t>
  </si>
  <si>
    <t>Markt, Oudenaarde</t>
  </si>
  <si>
    <t>Café in Ronde-museum, start veel routes; kleedkamers en douches. Ter plaatse: wifi, stopcontacten, fietsenstalling?</t>
  </si>
  <si>
    <t>KOERSkaffee</t>
  </si>
  <si>
    <t>KOERS Museum, Roeselare</t>
  </si>
  <si>
    <t>Brasserie in KOERS-museum, fietsers na rit; klein, snel vol, terras in tuin. Ter plaatse: wifi, fietsenstalling?</t>
  </si>
  <si>
    <t>Paddenbroek</t>
  </si>
  <si>
    <t>Gooik, Pajottenland</t>
  </si>
  <si>
    <t>Fiets- en wandelcafé in glazen serre tussen fietsroutes, lambiekcafé. Wifi onbekend; ter plaatse checken.</t>
  </si>
  <si>
    <t>The Cycling Hub</t>
  </si>
  <si>
    <t>Fietsbar + shop + performance lab, Dierkoststraat 18; open wo-zo, vaak pas namiddag. Ter plaatse: wifi, stopcontacten?</t>
  </si>
  <si>
    <t>Kortrijk</t>
  </si>
  <si>
    <t>deDingen</t>
  </si>
  <si>
    <t>Budastraat 12, 8500 Kortrijk</t>
  </si>
  <si>
    <t>Londerzeel</t>
  </si>
  <si>
    <t>Zjat'o</t>
  </si>
  <si>
    <t>Dorpsstraat 21, 1840 Londerzeel</t>
  </si>
  <si>
    <t>Mechelen</t>
  </si>
  <si>
    <t>Madmum IJzerenleen</t>
  </si>
  <si>
    <t>IJzerenleen 65, 2800 Mechelen</t>
  </si>
  <si>
    <t>Open sinds maart 2026.</t>
  </si>
  <si>
    <t>Meise</t>
  </si>
  <si>
    <t>Monday &amp; Co</t>
  </si>
  <si>
    <t>Zonnelaan 11, 1860 Meise</t>
  </si>
  <si>
    <t>In het weekend alleen open voor privé-events.</t>
  </si>
  <si>
    <t>Opwijk</t>
  </si>
  <si>
    <t>Keet</t>
  </si>
  <si>
    <t>Stationsstraat 64, 1745 Opwijk</t>
  </si>
  <si>
    <t>Costa Blanca (ES)</t>
  </si>
  <si>
    <t>Alcalalí</t>
  </si>
  <si>
    <t>Musette Cycling Café</t>
  </si>
  <si>
    <t>Plaça Mosquera 2, 03728 Alcalalí</t>
  </si>
  <si>
    <t>Calp</t>
  </si>
  <si>
    <t>cafeseamos</t>
  </si>
  <si>
    <t>Carrer la Santamaría 10, 03710 Calp</t>
  </si>
  <si>
    <t>L'Albir</t>
  </si>
  <si>
    <t>D·Origen Coffee Roasters</t>
  </si>
  <si>
    <t>Av. de Oscar Esplà 8, 03581 L'Albir</t>
  </si>
  <si>
    <t>Moraira</t>
  </si>
  <si>
    <t>Caffee Cadanz</t>
  </si>
  <si>
    <t>Ctra. Moraira a Calpe 121, 03724 Moraira</t>
  </si>
  <si>
    <t>Pluk Moraira</t>
  </si>
  <si>
    <t>Avenida de la Paz 20, 03724 Moraira</t>
  </si>
  <si>
    <t>Parcent</t>
  </si>
  <si>
    <t>Blanca Bikes Base Camp</t>
  </si>
  <si>
    <t>Avinguda de Dénia 15, 03792 Parcent</t>
  </si>
  <si>
    <t>Xaló</t>
  </si>
  <si>
    <t>Velosol Cycling Bar</t>
  </si>
  <si>
    <t>Carrer Església 14, 03727 Xaló</t>
  </si>
  <si>
    <t>Bars</t>
  </si>
  <si>
    <t>💻 PC: Ja</t>
  </si>
  <si>
    <t>💻 PC: ?</t>
  </si>
  <si>
    <t>🚴 Cycling: Ja</t>
  </si>
  <si>
    <t>🚴 Cycling: ?</t>
  </si>
  <si>
    <t>Al bezocht</t>
  </si>
  <si>
    <t>Totaal</t>
  </si>
  <si>
    <t>Klopt</t>
  </si>
  <si>
    <t>klopt</t>
  </si>
  <si>
    <t>Super vriendelijk en goede prijs/kwaliteit</t>
  </si>
  <si>
    <t>Is overgenomen!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</si>
</sst>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u/>
      <sz val="10"/>
      <color rgb="FF0563C1"/>
      <name val="Arial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B0B0B"/>
        <bgColor rgb="FF000000"/>
      </patternFill>
    </fill>
    <fill>
      <patternFill patternType="solid">
        <fgColor rgb="FFFFF9E6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164" fontId="4" fillId="3" borderId="1" xfId="0" applyNumberFormat="1" applyFont="1" applyFill="1" applyBorder="1" applyAlignment="1">
      <alignment vertical="top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 wrapText="1"/>
    </xf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7" fillId="3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</cellXfs>
  <cellStyles count="1">
    <cellStyle name="Standaard" xfId="0" builtinId="0"/>
  </cellStyles>
  <dxfs count="6">
    <dxf>
      <fill>
        <patternFill>
          <bgColor rgb="FFFCE8B2"/>
        </patternFill>
      </fill>
    </dxf>
    <dxf>
      <fill>
        <patternFill>
          <bgColor rgb="FFEEEEEE"/>
        </patternFill>
      </fill>
    </dxf>
    <dxf>
      <fill>
        <patternFill>
          <bgColor rgb="FFD9EAD3"/>
        </patternFill>
      </fill>
    </dxf>
    <dxf>
      <fill>
        <patternFill>
          <bgColor rgb="FFFCE8B2"/>
        </patternFill>
      </fill>
    </dxf>
    <dxf>
      <fill>
        <patternFill>
          <bgColor rgb="FFEEEEEE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EEEEEE"/>
      <rgbColor rgb="FF660066"/>
      <rgbColor rgb="FFFF8080"/>
      <rgbColor rgb="FF0563C1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8B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0B0B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koffietje.nl/koffiebars/or-coffee/" TargetMode="External"/><Relationship Id="rId21" Type="http://schemas.openxmlformats.org/officeDocument/2006/relationships/hyperlink" Target="https://laptopfriendlycafe.com/cafes/ghent/bidon-coffeebicycle" TargetMode="External"/><Relationship Id="rId42" Type="http://schemas.openxmlformats.org/officeDocument/2006/relationships/hyperlink" Target="https://lefooding.com/en/shops/drache" TargetMode="External"/><Relationship Id="rId47" Type="http://schemas.openxmlformats.org/officeDocument/2006/relationships/hyperlink" Target="https://www.facebook.com/horscategorie.brussels/" TargetMode="External"/><Relationship Id="rId63" Type="http://schemas.openxmlformats.org/officeDocument/2006/relationships/hyperlink" Target="https://mokcoffee.be/" TargetMode="External"/><Relationship Id="rId68" Type="http://schemas.openxmlformats.org/officeDocument/2006/relationships/hyperlink" Target="https://marie-roseknokke.be/" TargetMode="External"/><Relationship Id="rId84" Type="http://schemas.openxmlformats.org/officeDocument/2006/relationships/hyperlink" Target="https://www.cyclinginflanders.cc/plan-your-stay/food-drink/doude-hoeve" TargetMode="External"/><Relationship Id="rId89" Type="http://schemas.openxmlformats.org/officeDocument/2006/relationships/hyperlink" Target="https://www.toerismevlaamsbrabant.be/producten/eten-en-drinken/cafe-en-restaurant/fiets-en-wandelcaf-paddenbroek/" TargetMode="External"/><Relationship Id="rId16" Type="http://schemas.openxmlformats.org/officeDocument/2006/relationships/hyperlink" Target="https://www.koffietje.nl/koffiebars/polly/" TargetMode="External"/><Relationship Id="rId11" Type="http://schemas.openxmlformats.org/officeDocument/2006/relationships/hyperlink" Target="https://newplacestobe.com/places/kolonel-reede" TargetMode="External"/><Relationship Id="rId32" Type="http://schemas.openxmlformats.org/officeDocument/2006/relationships/hyperlink" Target="https://laptopfriendlycafe.com/cafes/brussels/aksum-coffee-house" TargetMode="External"/><Relationship Id="rId37" Type="http://schemas.openxmlformats.org/officeDocument/2006/relationships/hyperlink" Target="https://europeancoffeetrip.com/cafe/bouche-brussels/" TargetMode="External"/><Relationship Id="rId53" Type="http://schemas.openxmlformats.org/officeDocument/2006/relationships/hyperlink" Target="https://www.ucclecity.be/uccle/5443/miette_brussels" TargetMode="External"/><Relationship Id="rId58" Type="http://schemas.openxmlformats.org/officeDocument/2006/relationships/hyperlink" Target="https://localguide.brussels/en/spot/the-wayne-cafe/" TargetMode="External"/><Relationship Id="rId74" Type="http://schemas.openxmlformats.org/officeDocument/2006/relationships/hyperlink" Target="https://europeancoffeetrip.com/cafe/klikbogaerdstraat-dendermonde/" TargetMode="External"/><Relationship Id="rId79" Type="http://schemas.openxmlformats.org/officeDocument/2006/relationships/hyperlink" Target="https://www.fietssport.nl/spots/103/t-juiste-verzet" TargetMode="External"/><Relationship Id="rId102" Type="http://schemas.openxmlformats.org/officeDocument/2006/relationships/hyperlink" Target="https://costavelo.com/listing/velosol/" TargetMode="External"/><Relationship Id="rId5" Type="http://schemas.openxmlformats.org/officeDocument/2006/relationships/hyperlink" Target="https://digitalnomadcafes.com/cafes/belgium/antwerp/caffenation-roastery-and-bar-pakt" TargetMode="External"/><Relationship Id="rId90" Type="http://schemas.openxmlformats.org/officeDocument/2006/relationships/hyperlink" Target="https://www.cyclinghub.be/pasta-koffie-fiets-bar-geraardsbergen" TargetMode="External"/><Relationship Id="rId95" Type="http://schemas.openxmlformats.org/officeDocument/2006/relationships/hyperlink" Target="https://keetopwijk.be/" TargetMode="External"/><Relationship Id="rId22" Type="http://schemas.openxmlformats.org/officeDocument/2006/relationships/hyperlink" Target="https://europeancoffeetrip.com/cafe/cafelabath-gent/" TargetMode="External"/><Relationship Id="rId27" Type="http://schemas.openxmlformats.org/officeDocument/2006/relationships/hyperlink" Target="https://wanderlog.com/place/details/1509072/or-espresso-bar" TargetMode="External"/><Relationship Id="rId43" Type="http://schemas.openxmlformats.org/officeDocument/2006/relationships/hyperlink" Target="https://lefooding.com/en/restaurants/eight" TargetMode="External"/><Relationship Id="rId48" Type="http://schemas.openxmlformats.org/officeDocument/2006/relationships/hyperlink" Target="https://culture.ixelles.be/en/places/hors-categorie/" TargetMode="External"/><Relationship Id="rId64" Type="http://schemas.openxmlformats.org/officeDocument/2006/relationships/hyperlink" Target="https://laptopfriendlycafe.com/cafes/leuven/noir-coffeebar" TargetMode="External"/><Relationship Id="rId69" Type="http://schemas.openxmlformats.org/officeDocument/2006/relationships/hyperlink" Target="https://moederbabelutte.be/moeder-babelutte-cafe/" TargetMode="External"/><Relationship Id="rId80" Type="http://schemas.openxmlformats.org/officeDocument/2006/relationships/hyperlink" Target="https://tniefveloken.be/koffiebar/" TargetMode="External"/><Relationship Id="rId85" Type="http://schemas.openxmlformats.org/officeDocument/2006/relationships/hyperlink" Target="https://www.falcofietsbar.be/" TargetMode="External"/><Relationship Id="rId12" Type="http://schemas.openxmlformats.org/officeDocument/2006/relationships/hyperlink" Target="https://www.elle.be/nl/372828-werken-vanuit-koffiebar-antwerpen-favorieten.html" TargetMode="External"/><Relationship Id="rId17" Type="http://schemas.openxmlformats.org/officeDocument/2006/relationships/hyperlink" Target="https://europeancoffeetrip.com/cafe/rushrush-antwerp/" TargetMode="External"/><Relationship Id="rId25" Type="http://schemas.openxmlformats.org/officeDocument/2006/relationships/hyperlink" Target="https://koffie.work/belgium/ghent/cafes/koffeine" TargetMode="External"/><Relationship Id="rId33" Type="http://schemas.openxmlformats.org/officeDocument/2006/relationships/hyperlink" Target="https://europeancoffeetrip.com/cafe/barkboy-brussels/" TargetMode="External"/><Relationship Id="rId38" Type="http://schemas.openxmlformats.org/officeDocument/2006/relationships/hyperlink" Target="https://laptopfriendly.co/brussels/bouche-specialty-coffee" TargetMode="External"/><Relationship Id="rId46" Type="http://schemas.openxmlformats.org/officeDocument/2006/relationships/hyperlink" Target="https://lefooding.com/en/shops/grain-4" TargetMode="External"/><Relationship Id="rId59" Type="http://schemas.openxmlformats.org/officeDocument/2006/relationships/hyperlink" Target="https://wideawake.coffee/pages/locations" TargetMode="External"/><Relationship Id="rId67" Type="http://schemas.openxmlformats.org/officeDocument/2006/relationships/hyperlink" Target="https://www.jackrussellstore.be/jackscafe" TargetMode="External"/><Relationship Id="rId20" Type="http://schemas.openxmlformats.org/officeDocument/2006/relationships/hyperlink" Target="https://laptopfriendlycafe.com/cafes/antwerp/vitesse-coffee-cycling" TargetMode="External"/><Relationship Id="rId41" Type="http://schemas.openxmlformats.org/officeDocument/2006/relationships/hyperlink" Target="https://www.fietsenmakers.be/info.php?id=30823" TargetMode="External"/><Relationship Id="rId54" Type="http://schemas.openxmlformats.org/officeDocument/2006/relationships/hyperlink" Target="https://www.filternotes.com/brussels/mok-coffee-brussels" TargetMode="External"/><Relationship Id="rId62" Type="http://schemas.openxmlformats.org/officeDocument/2006/relationships/hyperlink" Target="https://europeancoffeetrip.com/cafe/madmum-vaartkom-leuven/" TargetMode="External"/><Relationship Id="rId70" Type="http://schemas.openxmlformats.org/officeDocument/2006/relationships/hyperlink" Target="https://www.barblend.be/" TargetMode="External"/><Relationship Id="rId75" Type="http://schemas.openxmlformats.org/officeDocument/2006/relationships/hyperlink" Target="https://selfcity.be/koffiebar/dendermonde/zjat-kaffe/" TargetMode="External"/><Relationship Id="rId83" Type="http://schemas.openxmlformats.org/officeDocument/2006/relationships/hyperlink" Target="https://wielerverhaal.com/2025/02/16/geraardsbergs-wielercafe-van-voormalig-profrenner-telt-af-naar-nieuw-wielerseizoen-die-tourpassage-zal-me-altijd-bijblijven/" TargetMode="External"/><Relationship Id="rId88" Type="http://schemas.openxmlformats.org/officeDocument/2006/relationships/hyperlink" Target="https://www.tripadvisor.com/Restaurant_Review-g641832-d15526831-Reviews-KoersKaffee-Roeselare_West_Flanders_Province.html" TargetMode="External"/><Relationship Id="rId91" Type="http://schemas.openxmlformats.org/officeDocument/2006/relationships/hyperlink" Target="https://europeancoffeetrip.com/cafe/dedingen-kortrijk/" TargetMode="External"/><Relationship Id="rId96" Type="http://schemas.openxmlformats.org/officeDocument/2006/relationships/hyperlink" Target="https://cycling-friendly.com/5-cycling-cafes-in-alicante-to-savour/" TargetMode="External"/><Relationship Id="rId1" Type="http://schemas.openxmlformats.org/officeDocument/2006/relationships/hyperlink" Target="https://europeancoffeetrip.com/cafe/andyroasters-antwerp/" TargetMode="External"/><Relationship Id="rId6" Type="http://schemas.openxmlformats.org/officeDocument/2006/relationships/hyperlink" Target="https://aplaceantwerp.be/bar-name-4/" TargetMode="External"/><Relationship Id="rId15" Type="http://schemas.openxmlformats.org/officeDocument/2006/relationships/hyperlink" Target="https://www.workinheels.be/de-beste-coffeebars-in-antwerpen/" TargetMode="External"/><Relationship Id="rId23" Type="http://schemas.openxmlformats.org/officeDocument/2006/relationships/hyperlink" Target="https://laptopfriendlycafe.com/cafes/ghent/full-circle-coffee-bar-and-roastery-zuid" TargetMode="External"/><Relationship Id="rId28" Type="http://schemas.openxmlformats.org/officeDocument/2006/relationships/hyperlink" Target="https://www.koffietje.nl/koffiebars/take-five-espressobar/" TargetMode="External"/><Relationship Id="rId36" Type="http://schemas.openxmlformats.org/officeDocument/2006/relationships/hyperlink" Target="https://www.belgacoffee.com/pages/bars_simple" TargetMode="External"/><Relationship Id="rId49" Type="http://schemas.openxmlformats.org/officeDocument/2006/relationships/hyperlink" Target="https://lefooding.com/en/shops/jackie-coffee" TargetMode="External"/><Relationship Id="rId57" Type="http://schemas.openxmlformats.org/officeDocument/2006/relationships/hyperlink" Target="https://europeancoffeetrip.com/cafe/terresdecafe-brussels/" TargetMode="External"/><Relationship Id="rId10" Type="http://schemas.openxmlformats.org/officeDocument/2006/relationships/hyperlink" Target="https://laptopfriendly.co/antwerp/koffie-dealers" TargetMode="External"/><Relationship Id="rId31" Type="http://schemas.openxmlformats.org/officeDocument/2006/relationships/hyperlink" Target="https://europeancoffeetrip.com/cafe/way-ghent/" TargetMode="External"/><Relationship Id="rId44" Type="http://schemas.openxmlformats.org/officeDocument/2006/relationships/hyperlink" Target="https://europeancoffeetrip.com/cafe/frank-brussels/" TargetMode="External"/><Relationship Id="rId52" Type="http://schemas.openxmlformats.org/officeDocument/2006/relationships/hyperlink" Target="https://www.sh-opeditions.com/blog/mains-sourdough-bakery" TargetMode="External"/><Relationship Id="rId60" Type="http://schemas.openxmlformats.org/officeDocument/2006/relationships/hyperlink" Target="https://wielerverhaal.com/2024/11/21/fietscafe-soigneur-in-leuven-legt-wielerfanaten-in-de-watten-vanop-het-terras-heb-je-zicht-op-recente-leuvense-wielergeschiedenis/" TargetMode="External"/><Relationship Id="rId65" Type="http://schemas.openxmlformats.org/officeDocument/2006/relationships/hyperlink" Target="https://www.visitwestvlaanderen.be/nl/brazila-knokke" TargetMode="External"/><Relationship Id="rId73" Type="http://schemas.openxmlformats.org/officeDocument/2006/relationships/hyperlink" Target="https://www.philimonius.be/" TargetMode="External"/><Relationship Id="rId78" Type="http://schemas.openxmlformats.org/officeDocument/2006/relationships/hyperlink" Target="https://editiepajot.com/regios/7/articles/86954" TargetMode="External"/><Relationship Id="rId81" Type="http://schemas.openxmlformats.org/officeDocument/2006/relationships/hyperlink" Target="https://wielercafes.nl/t-velohofke/" TargetMode="External"/><Relationship Id="rId86" Type="http://schemas.openxmlformats.org/officeDocument/2006/relationships/hyperlink" Target="https://flandrienhotel.com/" TargetMode="External"/><Relationship Id="rId94" Type="http://schemas.openxmlformats.org/officeDocument/2006/relationships/hyperlink" Target="https://mondayandco.be/" TargetMode="External"/><Relationship Id="rId99" Type="http://schemas.openxmlformats.org/officeDocument/2006/relationships/hyperlink" Target="https://www.caffeecadanz.com/" TargetMode="External"/><Relationship Id="rId101" Type="http://schemas.openxmlformats.org/officeDocument/2006/relationships/hyperlink" Target="https://blancabikes.com/" TargetMode="External"/><Relationship Id="rId4" Type="http://schemas.openxmlformats.org/officeDocument/2006/relationships/hyperlink" Target="https://www.elle.be/nl/372828-werken-vanuit-koffiebar-antwerpen-favorieten.html" TargetMode="External"/><Relationship Id="rId9" Type="http://schemas.openxmlformats.org/officeDocument/2006/relationships/hyperlink" Target="https://bakkerijfunk.com/pages/contact" TargetMode="External"/><Relationship Id="rId13" Type="http://schemas.openxmlformats.org/officeDocument/2006/relationships/hyperlink" Target="https://www.koffietje.nl/koffiebars/nives/" TargetMode="External"/><Relationship Id="rId18" Type="http://schemas.openxmlformats.org/officeDocument/2006/relationships/hyperlink" Target="https://laptopfriendly.co/antwerp/tartoer-coffee-vespa-bar" TargetMode="External"/><Relationship Id="rId39" Type="http://schemas.openxmlformats.org/officeDocument/2006/relationships/hyperlink" Target="https://europeancoffeetrip.com/cafe/buddybuddy-brussels/" TargetMode="External"/><Relationship Id="rId34" Type="http://schemas.openxmlformats.org/officeDocument/2006/relationships/hyperlink" Target="https://lefooding.com/en/restaurants/batch" TargetMode="External"/><Relationship Id="rId50" Type="http://schemas.openxmlformats.org/officeDocument/2006/relationships/hyperlink" Target="https://www.kosto.cafe/" TargetMode="External"/><Relationship Id="rId55" Type="http://schemas.openxmlformats.org/officeDocument/2006/relationships/hyperlink" Target="https://www.seven-brussels.com/cinquantenaire/" TargetMode="External"/><Relationship Id="rId76" Type="http://schemas.openxmlformats.org/officeDocument/2006/relationships/hyperlink" Target="https://www.goudengids.be/bedrijf/Dilbeek/L16308358/SKUIM/" TargetMode="External"/><Relationship Id="rId97" Type="http://schemas.openxmlformats.org/officeDocument/2006/relationships/hyperlink" Target="https://brewide.com/city/calpe/cafeseamos/" TargetMode="External"/><Relationship Id="rId7" Type="http://schemas.openxmlformats.org/officeDocument/2006/relationships/hyperlink" Target="https://fuel-antwerp.com/south" TargetMode="External"/><Relationship Id="rId71" Type="http://schemas.openxmlformats.org/officeDocument/2006/relationships/hyperlink" Target="https://www.opcafegaan.be/aalst/de-bevoorrading" TargetMode="External"/><Relationship Id="rId92" Type="http://schemas.openxmlformats.org/officeDocument/2006/relationships/hyperlink" Target="https://www.zjato.be/" TargetMode="External"/><Relationship Id="rId2" Type="http://schemas.openxmlformats.org/officeDocument/2006/relationships/hyperlink" Target="https://europeancoffeetrip.com/cafe/blackandyellowcoffeebar-antwerp/" TargetMode="External"/><Relationship Id="rId29" Type="http://schemas.openxmlformats.org/officeDocument/2006/relationships/hyperlink" Target="https://www.koffietje.nl/koffiebars/vandekerckhove-bar/" TargetMode="External"/><Relationship Id="rId24" Type="http://schemas.openxmlformats.org/officeDocument/2006/relationships/hyperlink" Target="https://www.koffietje.nl/koffiebars/goya-coffee/" TargetMode="External"/><Relationship Id="rId40" Type="http://schemas.openxmlformats.org/officeDocument/2006/relationships/hyperlink" Target="https://cafedelapresse.be/" TargetMode="External"/><Relationship Id="rId45" Type="http://schemas.openxmlformats.org/officeDocument/2006/relationships/hyperlink" Target="https://marieclaire.be/nl/?p=144356" TargetMode="External"/><Relationship Id="rId66" Type="http://schemas.openxmlformats.org/officeDocument/2006/relationships/hyperlink" Target="https://debrasseriekh.be/" TargetMode="External"/><Relationship Id="rId87" Type="http://schemas.openxmlformats.org/officeDocument/2006/relationships/hyperlink" Target="https://www.tripadvisor.com/Attraction_Review-g946444-d2373655-Reviews-Centrum_Ronde_van_Vlaanderen-Oudenaarde_East_Flanders_Province.html" TargetMode="External"/><Relationship Id="rId61" Type="http://schemas.openxmlformats.org/officeDocument/2006/relationships/hyperlink" Target="https://onan.be/locations/" TargetMode="External"/><Relationship Id="rId82" Type="http://schemas.openxmlformats.org/officeDocument/2006/relationships/hyperlink" Target="https://wielercafes.nl/apres-velo/" TargetMode="External"/><Relationship Id="rId19" Type="http://schemas.openxmlformats.org/officeDocument/2006/relationships/hyperlink" Target="https://aplaceantwerp.be/tinsel/" TargetMode="External"/><Relationship Id="rId14" Type="http://schemas.openxmlformats.org/officeDocument/2006/relationships/hyperlink" Target="https://www.opcafegaan.be/antwerpen/nordica-31" TargetMode="External"/><Relationship Id="rId30" Type="http://schemas.openxmlformats.org/officeDocument/2006/relationships/hyperlink" Target="https://www.koffietje.nl/koffiebars/way-coffee/" TargetMode="External"/><Relationship Id="rId35" Type="http://schemas.openxmlformats.org/officeDocument/2006/relationships/hyperlink" Target="https://www.brusselskitchen.com/en/addresses/belga-co/" TargetMode="External"/><Relationship Id="rId56" Type="http://schemas.openxmlformats.org/officeDocument/2006/relationships/hyperlink" Target="https://lefooding.com/en/restaurants/stella-2" TargetMode="External"/><Relationship Id="rId77" Type="http://schemas.openxmlformats.org/officeDocument/2006/relationships/hyperlink" Target="https://www.homerun.immo/nl/blog/leukste-restaurants-horecazaken-in-grimbergen" TargetMode="External"/><Relationship Id="rId100" Type="http://schemas.openxmlformats.org/officeDocument/2006/relationships/hyperlink" Target="https://incostablanca.nl/plaats/pluk-moraira/" TargetMode="External"/><Relationship Id="rId8" Type="http://schemas.openxmlformats.org/officeDocument/2006/relationships/hyperlink" Target="https://bakkerijfunk.com/pages/contact" TargetMode="External"/><Relationship Id="rId51" Type="http://schemas.openxmlformats.org/officeDocument/2006/relationships/hyperlink" Target="https://www.dhnet.be/regions/bruxelles/2025/04/18/une-boulangerie-au-levain-bien-connue-a-uccle-sinstalle-a-etterbeek-CACJQAFVE5HCFHRTG2TNUR6DWM/" TargetMode="External"/><Relationship Id="rId72" Type="http://schemas.openxmlformats.org/officeDocument/2006/relationships/hyperlink" Target="https://europeancoffeetrip.com/cafe/kopkoffiezaak-aalst/" TargetMode="External"/><Relationship Id="rId93" Type="http://schemas.openxmlformats.org/officeDocument/2006/relationships/hyperlink" Target="https://www.madmumcoffee.be/en/pages/locaties" TargetMode="External"/><Relationship Id="rId98" Type="http://schemas.openxmlformats.org/officeDocument/2006/relationships/hyperlink" Target="https://europeancoffeetrip.com/cafe/dorigencoffeeroasters-albir/" TargetMode="External"/><Relationship Id="rId3" Type="http://schemas.openxmlformats.org/officeDocument/2006/relationships/hyperlink" Target="https://www.tripadvisor.com/Restaurant_Review-g188636-d24963158-Reviews-Botellon_Antwerp-Antwerp_Antwerp_Provinc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zoomScaleNormal="100" workbookViewId="0"/>
  </sheetViews>
  <sheetFormatPr baseColWidth="10" defaultColWidth="8.6640625" defaultRowHeight="15" x14ac:dyDescent="0.2"/>
  <cols>
    <col min="1" max="1" width="120" customWidth="1"/>
  </cols>
  <sheetData>
    <row r="1" spans="1:1" ht="16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/>
    </row>
    <row r="7" spans="1:1" ht="16" x14ac:dyDescent="0.2">
      <c r="A7" s="1" t="s">
        <v>5</v>
      </c>
    </row>
    <row r="8" spans="1:1" x14ac:dyDescent="0.2">
      <c r="A8" s="2" t="s">
        <v>6</v>
      </c>
    </row>
    <row r="9" spans="1:1" x14ac:dyDescent="0.2">
      <c r="A9" s="2"/>
    </row>
    <row r="10" spans="1:1" ht="16" x14ac:dyDescent="0.2">
      <c r="A10" s="1" t="s">
        <v>7</v>
      </c>
    </row>
    <row r="11" spans="1:1" x14ac:dyDescent="0.2">
      <c r="A11" s="2" t="s">
        <v>8</v>
      </c>
    </row>
    <row r="12" spans="1:1" x14ac:dyDescent="0.2">
      <c r="A12" s="2" t="s">
        <v>9</v>
      </c>
    </row>
    <row r="13" spans="1:1" x14ac:dyDescent="0.2">
      <c r="A13" s="2"/>
    </row>
    <row r="14" spans="1:1" ht="16" x14ac:dyDescent="0.2">
      <c r="A14" s="1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3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98" sqref="G98"/>
    </sheetView>
  </sheetViews>
  <sheetFormatPr baseColWidth="10" defaultColWidth="8.6640625" defaultRowHeight="15" x14ac:dyDescent="0.2"/>
  <cols>
    <col min="1" max="2" width="16" customWidth="1"/>
    <col min="3" max="3" width="26" customWidth="1"/>
    <col min="4" max="4" width="32" customWidth="1"/>
    <col min="5" max="5" width="13" customWidth="1"/>
    <col min="6" max="6" width="15" customWidth="1"/>
    <col min="7" max="7" width="48" customWidth="1"/>
    <col min="8" max="8" width="7" customWidth="1"/>
    <col min="9" max="9" width="12" customWidth="1"/>
    <col min="10" max="11" width="14" customWidth="1"/>
    <col min="12" max="12" width="40" customWidth="1"/>
  </cols>
  <sheetData>
    <row r="1" spans="1:12" ht="31.5" customHeight="1" x14ac:dyDescent="0.2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</row>
    <row r="2" spans="1:12" ht="42" x14ac:dyDescent="0.2">
      <c r="A2" s="4" t="s">
        <v>23</v>
      </c>
      <c r="B2" s="4" t="s">
        <v>23</v>
      </c>
      <c r="C2" s="5" t="s">
        <v>24</v>
      </c>
      <c r="D2" s="6" t="s">
        <v>25</v>
      </c>
      <c r="E2" s="7" t="s">
        <v>26</v>
      </c>
      <c r="F2" s="7" t="s">
        <v>26</v>
      </c>
      <c r="G2" s="6" t="s">
        <v>27</v>
      </c>
      <c r="H2" s="8" t="s">
        <v>28</v>
      </c>
      <c r="I2" s="9"/>
      <c r="J2" s="10"/>
      <c r="K2" s="10"/>
      <c r="L2" s="11"/>
    </row>
    <row r="3" spans="1:12" ht="28" x14ac:dyDescent="0.2">
      <c r="A3" s="4" t="s">
        <v>23</v>
      </c>
      <c r="B3" s="4" t="s">
        <v>23</v>
      </c>
      <c r="C3" s="5" t="s">
        <v>29</v>
      </c>
      <c r="D3" s="6" t="s">
        <v>30</v>
      </c>
      <c r="E3" s="7" t="s">
        <v>31</v>
      </c>
      <c r="F3" s="7" t="s">
        <v>26</v>
      </c>
      <c r="G3" s="6" t="s">
        <v>32</v>
      </c>
      <c r="H3" s="8" t="s">
        <v>28</v>
      </c>
      <c r="I3" s="9"/>
      <c r="J3" s="10"/>
      <c r="K3" s="10"/>
      <c r="L3" s="11"/>
    </row>
    <row r="4" spans="1:12" ht="28" x14ac:dyDescent="0.2">
      <c r="A4" s="4" t="s">
        <v>23</v>
      </c>
      <c r="B4" s="4" t="s">
        <v>23</v>
      </c>
      <c r="C4" s="5" t="s">
        <v>33</v>
      </c>
      <c r="D4" s="6" t="s">
        <v>34</v>
      </c>
      <c r="E4" s="7" t="s">
        <v>35</v>
      </c>
      <c r="F4" s="7" t="s">
        <v>31</v>
      </c>
      <c r="G4" s="6" t="s">
        <v>36</v>
      </c>
      <c r="H4" s="8" t="s">
        <v>28</v>
      </c>
      <c r="I4" s="9"/>
      <c r="J4" s="10"/>
      <c r="K4" s="10"/>
      <c r="L4" s="11"/>
    </row>
    <row r="5" spans="1:12" ht="28" x14ac:dyDescent="0.2">
      <c r="A5" s="4" t="s">
        <v>23</v>
      </c>
      <c r="B5" s="4" t="s">
        <v>23</v>
      </c>
      <c r="C5" s="5" t="s">
        <v>37</v>
      </c>
      <c r="D5" s="6" t="s">
        <v>38</v>
      </c>
      <c r="E5" s="7" t="s">
        <v>31</v>
      </c>
      <c r="F5" s="7" t="s">
        <v>26</v>
      </c>
      <c r="G5" s="6" t="s">
        <v>39</v>
      </c>
      <c r="H5" s="8" t="s">
        <v>28</v>
      </c>
      <c r="I5" s="9"/>
      <c r="J5" s="10"/>
      <c r="K5" s="10"/>
      <c r="L5" s="11"/>
    </row>
    <row r="6" spans="1:12" ht="42" x14ac:dyDescent="0.2">
      <c r="A6" s="4" t="s">
        <v>23</v>
      </c>
      <c r="B6" s="4" t="s">
        <v>23</v>
      </c>
      <c r="C6" s="5" t="s">
        <v>40</v>
      </c>
      <c r="D6" s="6" t="s">
        <v>41</v>
      </c>
      <c r="E6" s="7" t="s">
        <v>31</v>
      </c>
      <c r="F6" s="7" t="s">
        <v>26</v>
      </c>
      <c r="G6" s="6" t="s">
        <v>42</v>
      </c>
      <c r="H6" s="8" t="s">
        <v>28</v>
      </c>
      <c r="I6" s="9"/>
      <c r="J6" s="10"/>
      <c r="K6" s="10"/>
      <c r="L6" s="11"/>
    </row>
    <row r="7" spans="1:12" ht="28" x14ac:dyDescent="0.2">
      <c r="A7" s="4" t="s">
        <v>23</v>
      </c>
      <c r="B7" s="4" t="s">
        <v>23</v>
      </c>
      <c r="C7" s="5" t="s">
        <v>43</v>
      </c>
      <c r="D7" s="6" t="s">
        <v>44</v>
      </c>
      <c r="E7" s="7" t="s">
        <v>31</v>
      </c>
      <c r="F7" s="7" t="s">
        <v>35</v>
      </c>
      <c r="G7" s="6"/>
      <c r="H7" s="8" t="s">
        <v>28</v>
      </c>
      <c r="I7" s="9"/>
      <c r="J7" s="10"/>
      <c r="K7" s="10"/>
      <c r="L7" s="11"/>
    </row>
    <row r="8" spans="1:12" ht="42" x14ac:dyDescent="0.2">
      <c r="A8" s="4" t="s">
        <v>23</v>
      </c>
      <c r="B8" s="4" t="s">
        <v>23</v>
      </c>
      <c r="C8" s="5" t="s">
        <v>45</v>
      </c>
      <c r="D8" s="6" t="s">
        <v>46</v>
      </c>
      <c r="E8" s="7" t="s">
        <v>35</v>
      </c>
      <c r="F8" s="7" t="s">
        <v>35</v>
      </c>
      <c r="G8" s="6" t="s">
        <v>47</v>
      </c>
      <c r="H8" s="8" t="s">
        <v>28</v>
      </c>
      <c r="I8" s="9"/>
      <c r="J8" s="10"/>
      <c r="K8" s="10"/>
      <c r="L8" s="11"/>
    </row>
    <row r="9" spans="1:12" x14ac:dyDescent="0.2">
      <c r="A9" s="4" t="s">
        <v>23</v>
      </c>
      <c r="B9" s="4" t="s">
        <v>23</v>
      </c>
      <c r="C9" s="5" t="s">
        <v>48</v>
      </c>
      <c r="D9" s="6" t="s">
        <v>49</v>
      </c>
      <c r="E9" s="7" t="s">
        <v>31</v>
      </c>
      <c r="F9" s="7" t="s">
        <v>35</v>
      </c>
      <c r="G9" s="6" t="s">
        <v>50</v>
      </c>
      <c r="H9" s="8" t="s">
        <v>28</v>
      </c>
      <c r="I9" s="9"/>
      <c r="J9" s="10"/>
      <c r="K9" s="10"/>
      <c r="L9" s="11"/>
    </row>
    <row r="10" spans="1:12" ht="28" x14ac:dyDescent="0.2">
      <c r="A10" s="4" t="s">
        <v>23</v>
      </c>
      <c r="B10" s="4" t="s">
        <v>23</v>
      </c>
      <c r="C10" s="5" t="s">
        <v>51</v>
      </c>
      <c r="D10" s="6" t="s">
        <v>52</v>
      </c>
      <c r="E10" s="7" t="s">
        <v>31</v>
      </c>
      <c r="F10" s="7" t="s">
        <v>31</v>
      </c>
      <c r="G10" s="6"/>
      <c r="H10" s="8" t="s">
        <v>28</v>
      </c>
      <c r="I10" s="9"/>
      <c r="J10" s="10"/>
      <c r="K10" s="10"/>
      <c r="L10" s="11"/>
    </row>
    <row r="11" spans="1:12" ht="28" x14ac:dyDescent="0.2">
      <c r="A11" s="4" t="s">
        <v>23</v>
      </c>
      <c r="B11" s="4" t="s">
        <v>23</v>
      </c>
      <c r="C11" s="5" t="s">
        <v>53</v>
      </c>
      <c r="D11" s="6" t="s">
        <v>54</v>
      </c>
      <c r="E11" s="7" t="s">
        <v>31</v>
      </c>
      <c r="F11" s="7" t="s">
        <v>26</v>
      </c>
      <c r="G11" s="6" t="s">
        <v>55</v>
      </c>
      <c r="H11" s="8" t="s">
        <v>28</v>
      </c>
      <c r="I11" s="9"/>
      <c r="J11" s="10"/>
      <c r="K11" s="10"/>
      <c r="L11" s="11"/>
    </row>
    <row r="12" spans="1:12" ht="28" x14ac:dyDescent="0.2">
      <c r="A12" s="4" t="s">
        <v>23</v>
      </c>
      <c r="B12" s="4" t="s">
        <v>23</v>
      </c>
      <c r="C12" s="5" t="s">
        <v>56</v>
      </c>
      <c r="D12" s="6" t="s">
        <v>57</v>
      </c>
      <c r="E12" s="7" t="s">
        <v>26</v>
      </c>
      <c r="F12" s="7" t="s">
        <v>26</v>
      </c>
      <c r="G12" s="6" t="s">
        <v>58</v>
      </c>
      <c r="H12" s="8" t="s">
        <v>28</v>
      </c>
      <c r="I12" s="9"/>
      <c r="J12" s="10"/>
      <c r="K12" s="10"/>
      <c r="L12" s="11"/>
    </row>
    <row r="13" spans="1:12" ht="28" x14ac:dyDescent="0.2">
      <c r="A13" s="4" t="s">
        <v>23</v>
      </c>
      <c r="B13" s="4" t="s">
        <v>23</v>
      </c>
      <c r="C13" s="5" t="s">
        <v>59</v>
      </c>
      <c r="D13" s="6" t="s">
        <v>60</v>
      </c>
      <c r="E13" s="7" t="s">
        <v>31</v>
      </c>
      <c r="F13" s="7" t="s">
        <v>26</v>
      </c>
      <c r="G13" s="6" t="s">
        <v>61</v>
      </c>
      <c r="H13" s="8" t="s">
        <v>28</v>
      </c>
      <c r="I13" s="9"/>
      <c r="J13" s="10"/>
      <c r="K13" s="10"/>
      <c r="L13" s="11"/>
    </row>
    <row r="14" spans="1:12" ht="42" x14ac:dyDescent="0.2">
      <c r="A14" s="4" t="s">
        <v>23</v>
      </c>
      <c r="B14" s="4" t="s">
        <v>23</v>
      </c>
      <c r="C14" s="5" t="s">
        <v>62</v>
      </c>
      <c r="D14" s="6" t="s">
        <v>63</v>
      </c>
      <c r="E14" s="7" t="s">
        <v>31</v>
      </c>
      <c r="F14" s="7" t="s">
        <v>26</v>
      </c>
      <c r="G14" s="6" t="s">
        <v>64</v>
      </c>
      <c r="H14" s="8" t="s">
        <v>28</v>
      </c>
      <c r="I14" s="9"/>
      <c r="J14" s="10"/>
      <c r="K14" s="10"/>
      <c r="L14" s="11"/>
    </row>
    <row r="15" spans="1:12" x14ac:dyDescent="0.2">
      <c r="A15" s="4" t="s">
        <v>23</v>
      </c>
      <c r="B15" s="4" t="s">
        <v>23</v>
      </c>
      <c r="C15" s="5" t="s">
        <v>65</v>
      </c>
      <c r="D15" s="6" t="s">
        <v>66</v>
      </c>
      <c r="E15" s="7" t="s">
        <v>35</v>
      </c>
      <c r="F15" s="7" t="s">
        <v>31</v>
      </c>
      <c r="G15" s="6"/>
      <c r="H15" s="8" t="s">
        <v>28</v>
      </c>
      <c r="I15" s="9"/>
      <c r="J15" s="10"/>
      <c r="K15" s="10"/>
      <c r="L15" s="11"/>
    </row>
    <row r="16" spans="1:12" ht="42" x14ac:dyDescent="0.2">
      <c r="A16" s="4" t="s">
        <v>23</v>
      </c>
      <c r="B16" s="4" t="s">
        <v>23</v>
      </c>
      <c r="C16" s="5" t="s">
        <v>67</v>
      </c>
      <c r="D16" s="6" t="s">
        <v>68</v>
      </c>
      <c r="E16" s="7" t="s">
        <v>26</v>
      </c>
      <c r="F16" s="7" t="s">
        <v>26</v>
      </c>
      <c r="G16" s="6" t="s">
        <v>69</v>
      </c>
      <c r="H16" s="8" t="s">
        <v>28</v>
      </c>
      <c r="I16" s="9"/>
      <c r="J16" s="10"/>
      <c r="K16" s="10"/>
      <c r="L16" s="11"/>
    </row>
    <row r="17" spans="1:12" x14ac:dyDescent="0.2">
      <c r="A17" s="4" t="s">
        <v>23</v>
      </c>
      <c r="B17" s="4" t="s">
        <v>23</v>
      </c>
      <c r="C17" s="5" t="s">
        <v>70</v>
      </c>
      <c r="D17" s="6" t="s">
        <v>71</v>
      </c>
      <c r="E17" s="7" t="s">
        <v>31</v>
      </c>
      <c r="F17" s="7" t="s">
        <v>31</v>
      </c>
      <c r="G17" s="6"/>
      <c r="H17" s="8" t="s">
        <v>28</v>
      </c>
      <c r="I17" s="9"/>
      <c r="J17" s="10"/>
      <c r="K17" s="10"/>
      <c r="L17" s="11"/>
    </row>
    <row r="18" spans="1:12" ht="28" x14ac:dyDescent="0.2">
      <c r="A18" s="4" t="s">
        <v>23</v>
      </c>
      <c r="B18" s="4" t="s">
        <v>23</v>
      </c>
      <c r="C18" s="5" t="s">
        <v>72</v>
      </c>
      <c r="D18" s="6" t="s">
        <v>73</v>
      </c>
      <c r="E18" s="7" t="s">
        <v>31</v>
      </c>
      <c r="F18" s="7" t="s">
        <v>26</v>
      </c>
      <c r="G18" s="6" t="s">
        <v>74</v>
      </c>
      <c r="H18" s="8" t="s">
        <v>28</v>
      </c>
      <c r="I18" s="9"/>
      <c r="J18" s="10"/>
      <c r="K18" s="10"/>
      <c r="L18" s="11"/>
    </row>
    <row r="19" spans="1:12" ht="28" x14ac:dyDescent="0.2">
      <c r="A19" s="4" t="s">
        <v>23</v>
      </c>
      <c r="B19" s="4" t="s">
        <v>23</v>
      </c>
      <c r="C19" s="5" t="s">
        <v>75</v>
      </c>
      <c r="D19" s="6" t="s">
        <v>76</v>
      </c>
      <c r="E19" s="7" t="s">
        <v>26</v>
      </c>
      <c r="F19" s="7" t="s">
        <v>26</v>
      </c>
      <c r="G19" s="6" t="s">
        <v>77</v>
      </c>
      <c r="H19" s="8" t="s">
        <v>28</v>
      </c>
      <c r="I19" s="9"/>
      <c r="J19" s="10"/>
      <c r="K19" s="10"/>
      <c r="L19" s="11"/>
    </row>
    <row r="20" spans="1:12" x14ac:dyDescent="0.2">
      <c r="A20" s="4" t="s">
        <v>23</v>
      </c>
      <c r="B20" s="4" t="s">
        <v>23</v>
      </c>
      <c r="C20" s="5" t="s">
        <v>78</v>
      </c>
      <c r="D20" s="6" t="s">
        <v>79</v>
      </c>
      <c r="E20" s="7" t="s">
        <v>31</v>
      </c>
      <c r="F20" s="7" t="s">
        <v>35</v>
      </c>
      <c r="G20" s="6" t="s">
        <v>80</v>
      </c>
      <c r="H20" s="8" t="s">
        <v>28</v>
      </c>
      <c r="I20" s="9"/>
      <c r="J20" s="10"/>
      <c r="K20" s="10"/>
      <c r="L20" s="11"/>
    </row>
    <row r="21" spans="1:12" ht="28" x14ac:dyDescent="0.2">
      <c r="A21" s="4" t="s">
        <v>23</v>
      </c>
      <c r="B21" s="4" t="s">
        <v>23</v>
      </c>
      <c r="C21" s="5" t="s">
        <v>81</v>
      </c>
      <c r="D21" s="6" t="s">
        <v>82</v>
      </c>
      <c r="E21" s="7" t="s">
        <v>31</v>
      </c>
      <c r="F21" s="7" t="s">
        <v>31</v>
      </c>
      <c r="G21" s="6" t="s">
        <v>83</v>
      </c>
      <c r="H21" s="8" t="s">
        <v>28</v>
      </c>
      <c r="I21" s="9"/>
      <c r="J21" s="10"/>
      <c r="K21" s="10"/>
      <c r="L21" s="11"/>
    </row>
    <row r="22" spans="1:12" ht="42" x14ac:dyDescent="0.2">
      <c r="A22" s="4" t="s">
        <v>84</v>
      </c>
      <c r="B22" s="4" t="s">
        <v>84</v>
      </c>
      <c r="C22" s="5" t="s">
        <v>85</v>
      </c>
      <c r="D22" s="6" t="s">
        <v>86</v>
      </c>
      <c r="E22" s="7" t="s">
        <v>31</v>
      </c>
      <c r="F22" s="7" t="s">
        <v>31</v>
      </c>
      <c r="G22" s="6" t="s">
        <v>87</v>
      </c>
      <c r="H22" s="8" t="s">
        <v>28</v>
      </c>
      <c r="I22" s="9"/>
      <c r="J22" s="10"/>
      <c r="K22" s="10"/>
      <c r="L22" s="11"/>
    </row>
    <row r="23" spans="1:12" ht="28" x14ac:dyDescent="0.2">
      <c r="A23" s="4" t="s">
        <v>84</v>
      </c>
      <c r="B23" s="4" t="s">
        <v>84</v>
      </c>
      <c r="C23" s="5" t="s">
        <v>88</v>
      </c>
      <c r="D23" s="6" t="s">
        <v>89</v>
      </c>
      <c r="E23" s="7" t="s">
        <v>31</v>
      </c>
      <c r="F23" s="7" t="s">
        <v>26</v>
      </c>
      <c r="G23" s="6" t="s">
        <v>90</v>
      </c>
      <c r="H23" s="8" t="s">
        <v>28</v>
      </c>
      <c r="I23" s="9"/>
      <c r="J23" s="10"/>
      <c r="K23" s="10"/>
      <c r="L23" s="11"/>
    </row>
    <row r="24" spans="1:12" ht="42" x14ac:dyDescent="0.2">
      <c r="A24" s="4" t="s">
        <v>84</v>
      </c>
      <c r="B24" s="4" t="s">
        <v>84</v>
      </c>
      <c r="C24" s="5" t="s">
        <v>91</v>
      </c>
      <c r="D24" s="6" t="s">
        <v>92</v>
      </c>
      <c r="E24" s="7" t="s">
        <v>31</v>
      </c>
      <c r="F24" s="7" t="s">
        <v>26</v>
      </c>
      <c r="G24" s="6" t="s">
        <v>93</v>
      </c>
      <c r="H24" s="8" t="s">
        <v>28</v>
      </c>
      <c r="I24" s="9"/>
      <c r="J24" s="10"/>
      <c r="K24" s="10"/>
      <c r="L24" s="11"/>
    </row>
    <row r="25" spans="1:12" ht="28" x14ac:dyDescent="0.2">
      <c r="A25" s="4" t="s">
        <v>84</v>
      </c>
      <c r="B25" s="4" t="s">
        <v>84</v>
      </c>
      <c r="C25" s="5" t="s">
        <v>94</v>
      </c>
      <c r="D25" s="6" t="s">
        <v>95</v>
      </c>
      <c r="E25" s="7" t="s">
        <v>31</v>
      </c>
      <c r="F25" s="7" t="s">
        <v>26</v>
      </c>
      <c r="G25" s="6" t="s">
        <v>96</v>
      </c>
      <c r="H25" s="8" t="s">
        <v>28</v>
      </c>
      <c r="I25" s="9"/>
      <c r="J25" s="10"/>
      <c r="K25" s="10"/>
      <c r="L25" s="11"/>
    </row>
    <row r="26" spans="1:12" ht="28" x14ac:dyDescent="0.2">
      <c r="A26" s="4" t="s">
        <v>84</v>
      </c>
      <c r="B26" s="4" t="s">
        <v>84</v>
      </c>
      <c r="C26" s="5" t="s">
        <v>97</v>
      </c>
      <c r="D26" s="6" t="s">
        <v>98</v>
      </c>
      <c r="E26" s="7" t="s">
        <v>26</v>
      </c>
      <c r="F26" s="7" t="s">
        <v>26</v>
      </c>
      <c r="G26" s="6" t="s">
        <v>99</v>
      </c>
      <c r="H26" s="8" t="s">
        <v>28</v>
      </c>
      <c r="I26" s="9"/>
      <c r="J26" s="10"/>
      <c r="K26" s="10"/>
      <c r="L26" s="11"/>
    </row>
    <row r="27" spans="1:12" ht="28" x14ac:dyDescent="0.2">
      <c r="A27" s="4" t="s">
        <v>84</v>
      </c>
      <c r="B27" s="4" t="s">
        <v>84</v>
      </c>
      <c r="C27" s="5" t="s">
        <v>100</v>
      </c>
      <c r="D27" s="6" t="s">
        <v>101</v>
      </c>
      <c r="E27" s="7" t="s">
        <v>31</v>
      </c>
      <c r="F27" s="7" t="s">
        <v>26</v>
      </c>
      <c r="G27" s="6" t="s">
        <v>102</v>
      </c>
      <c r="H27" s="8" t="s">
        <v>28</v>
      </c>
      <c r="I27" s="9"/>
      <c r="J27" s="10"/>
      <c r="K27" s="10"/>
      <c r="L27" s="11"/>
    </row>
    <row r="28" spans="1:12" ht="28" x14ac:dyDescent="0.2">
      <c r="A28" s="4" t="s">
        <v>84</v>
      </c>
      <c r="B28" s="4" t="s">
        <v>84</v>
      </c>
      <c r="C28" s="5" t="s">
        <v>103</v>
      </c>
      <c r="D28" s="6" t="s">
        <v>104</v>
      </c>
      <c r="E28" s="7" t="s">
        <v>26</v>
      </c>
      <c r="F28" s="7" t="s">
        <v>26</v>
      </c>
      <c r="G28" s="6" t="s">
        <v>105</v>
      </c>
      <c r="H28" s="8" t="s">
        <v>28</v>
      </c>
      <c r="I28" s="9"/>
      <c r="J28" s="10"/>
      <c r="K28" s="10"/>
      <c r="L28" s="11"/>
    </row>
    <row r="29" spans="1:12" ht="28" x14ac:dyDescent="0.2">
      <c r="A29" s="4" t="s">
        <v>84</v>
      </c>
      <c r="B29" s="4" t="s">
        <v>84</v>
      </c>
      <c r="C29" s="5" t="s">
        <v>106</v>
      </c>
      <c r="D29" s="6" t="s">
        <v>107</v>
      </c>
      <c r="E29" s="7" t="s">
        <v>31</v>
      </c>
      <c r="F29" s="7" t="s">
        <v>26</v>
      </c>
      <c r="G29" s="6" t="s">
        <v>108</v>
      </c>
      <c r="H29" s="8" t="s">
        <v>28</v>
      </c>
      <c r="I29" s="9"/>
      <c r="J29" s="10"/>
      <c r="K29" s="10"/>
      <c r="L29" s="11"/>
    </row>
    <row r="30" spans="1:12" ht="28" x14ac:dyDescent="0.2">
      <c r="A30" s="4" t="s">
        <v>84</v>
      </c>
      <c r="B30" s="4" t="s">
        <v>84</v>
      </c>
      <c r="C30" s="5" t="s">
        <v>109</v>
      </c>
      <c r="D30" s="6" t="s">
        <v>110</v>
      </c>
      <c r="E30" s="7" t="s">
        <v>31</v>
      </c>
      <c r="F30" s="7" t="s">
        <v>26</v>
      </c>
      <c r="G30" s="6" t="s">
        <v>111</v>
      </c>
      <c r="H30" s="8" t="s">
        <v>28</v>
      </c>
      <c r="I30" s="9"/>
      <c r="J30" s="10"/>
      <c r="K30" s="10"/>
      <c r="L30" s="11"/>
    </row>
    <row r="31" spans="1:12" ht="28" x14ac:dyDescent="0.2">
      <c r="A31" s="4" t="s">
        <v>84</v>
      </c>
      <c r="B31" s="4" t="s">
        <v>84</v>
      </c>
      <c r="C31" s="5" t="s">
        <v>112</v>
      </c>
      <c r="D31" s="6" t="s">
        <v>113</v>
      </c>
      <c r="E31" s="7" t="s">
        <v>35</v>
      </c>
      <c r="F31" s="7" t="s">
        <v>26</v>
      </c>
      <c r="G31" s="6" t="s">
        <v>114</v>
      </c>
      <c r="H31" s="8" t="s">
        <v>28</v>
      </c>
      <c r="I31" s="9"/>
      <c r="J31" s="10"/>
      <c r="K31" s="10"/>
      <c r="L31" s="11"/>
    </row>
    <row r="32" spans="1:12" ht="28" x14ac:dyDescent="0.2">
      <c r="A32" s="4" t="s">
        <v>84</v>
      </c>
      <c r="B32" s="4" t="s">
        <v>84</v>
      </c>
      <c r="C32" s="5" t="s">
        <v>115</v>
      </c>
      <c r="D32" s="6" t="s">
        <v>116</v>
      </c>
      <c r="E32" s="7" t="s">
        <v>31</v>
      </c>
      <c r="F32" s="7" t="s">
        <v>26</v>
      </c>
      <c r="G32" s="6" t="s">
        <v>117</v>
      </c>
      <c r="H32" s="8" t="s">
        <v>28</v>
      </c>
      <c r="I32" s="9"/>
      <c r="J32" s="10"/>
      <c r="K32" s="10"/>
      <c r="L32" s="11"/>
    </row>
    <row r="33" spans="1:12" ht="28" x14ac:dyDescent="0.2">
      <c r="A33" s="4" t="s">
        <v>118</v>
      </c>
      <c r="B33" s="4" t="s">
        <v>118</v>
      </c>
      <c r="C33" s="5" t="s">
        <v>119</v>
      </c>
      <c r="D33" s="6" t="s">
        <v>120</v>
      </c>
      <c r="E33" s="7" t="s">
        <v>31</v>
      </c>
      <c r="F33" s="7" t="s">
        <v>26</v>
      </c>
      <c r="G33" s="6" t="s">
        <v>121</v>
      </c>
      <c r="H33" s="8" t="s">
        <v>28</v>
      </c>
      <c r="I33" s="9"/>
      <c r="J33" s="10"/>
      <c r="K33" s="10"/>
      <c r="L33" s="11"/>
    </row>
    <row r="34" spans="1:12" x14ac:dyDescent="0.2">
      <c r="A34" s="4" t="s">
        <v>118</v>
      </c>
      <c r="B34" s="4" t="s">
        <v>118</v>
      </c>
      <c r="C34" s="5" t="s">
        <v>122</v>
      </c>
      <c r="D34" s="6" t="s">
        <v>123</v>
      </c>
      <c r="E34" s="7" t="s">
        <v>31</v>
      </c>
      <c r="F34" s="7" t="s">
        <v>35</v>
      </c>
      <c r="G34" s="6"/>
      <c r="H34" s="8" t="s">
        <v>28</v>
      </c>
      <c r="I34" s="9"/>
      <c r="J34" s="10"/>
      <c r="K34" s="10"/>
      <c r="L34" s="11"/>
    </row>
    <row r="35" spans="1:12" ht="28" x14ac:dyDescent="0.2">
      <c r="A35" s="4" t="s">
        <v>118</v>
      </c>
      <c r="B35" s="4" t="s">
        <v>118</v>
      </c>
      <c r="C35" s="5" t="s">
        <v>124</v>
      </c>
      <c r="D35" s="6" t="s">
        <v>125</v>
      </c>
      <c r="E35" s="7" t="s">
        <v>35</v>
      </c>
      <c r="F35" s="7" t="s">
        <v>35</v>
      </c>
      <c r="G35" s="6" t="s">
        <v>126</v>
      </c>
      <c r="H35" s="8" t="s">
        <v>28</v>
      </c>
      <c r="I35" s="9"/>
      <c r="J35" s="10"/>
      <c r="K35" s="10"/>
      <c r="L35" s="11"/>
    </row>
    <row r="36" spans="1:12" ht="28" x14ac:dyDescent="0.2">
      <c r="A36" s="4" t="s">
        <v>118</v>
      </c>
      <c r="B36" s="4" t="s">
        <v>118</v>
      </c>
      <c r="C36" s="5" t="s">
        <v>127</v>
      </c>
      <c r="D36" s="6" t="s">
        <v>128</v>
      </c>
      <c r="E36" s="7" t="s">
        <v>31</v>
      </c>
      <c r="F36" s="7" t="s">
        <v>26</v>
      </c>
      <c r="G36" s="6" t="s">
        <v>129</v>
      </c>
      <c r="H36" s="8" t="s">
        <v>28</v>
      </c>
      <c r="I36" s="9"/>
      <c r="J36" s="10"/>
      <c r="K36" s="10"/>
      <c r="L36" s="11"/>
    </row>
    <row r="37" spans="1:12" ht="28" x14ac:dyDescent="0.2">
      <c r="A37" s="4" t="s">
        <v>118</v>
      </c>
      <c r="B37" s="4" t="s">
        <v>118</v>
      </c>
      <c r="C37" s="5" t="s">
        <v>130</v>
      </c>
      <c r="D37" s="6" t="s">
        <v>131</v>
      </c>
      <c r="E37" s="7" t="s">
        <v>31</v>
      </c>
      <c r="F37" s="7" t="s">
        <v>35</v>
      </c>
      <c r="G37" s="6" t="s">
        <v>132</v>
      </c>
      <c r="H37" s="8" t="s">
        <v>28</v>
      </c>
      <c r="I37" s="9"/>
      <c r="J37" s="10"/>
      <c r="K37" s="10"/>
      <c r="L37" s="11"/>
    </row>
    <row r="38" spans="1:12" x14ac:dyDescent="0.2">
      <c r="A38" s="4" t="s">
        <v>118</v>
      </c>
      <c r="B38" s="4" t="s">
        <v>118</v>
      </c>
      <c r="C38" s="5" t="s">
        <v>133</v>
      </c>
      <c r="D38" s="6" t="s">
        <v>134</v>
      </c>
      <c r="E38" s="7" t="s">
        <v>31</v>
      </c>
      <c r="F38" s="7" t="s">
        <v>35</v>
      </c>
      <c r="G38" s="6"/>
      <c r="H38" s="8" t="s">
        <v>28</v>
      </c>
      <c r="I38" s="9"/>
      <c r="J38" s="10"/>
      <c r="K38" s="10"/>
      <c r="L38" s="11"/>
    </row>
    <row r="39" spans="1:12" ht="28" x14ac:dyDescent="0.2">
      <c r="A39" s="4" t="s">
        <v>118</v>
      </c>
      <c r="B39" s="4" t="s">
        <v>118</v>
      </c>
      <c r="C39" s="5" t="s">
        <v>135</v>
      </c>
      <c r="D39" s="6" t="s">
        <v>136</v>
      </c>
      <c r="E39" s="7" t="s">
        <v>26</v>
      </c>
      <c r="F39" s="7" t="s">
        <v>26</v>
      </c>
      <c r="G39" s="6" t="s">
        <v>137</v>
      </c>
      <c r="H39" s="8" t="s">
        <v>28</v>
      </c>
      <c r="I39" s="9"/>
      <c r="J39" s="10"/>
      <c r="K39" s="10"/>
      <c r="L39" s="11"/>
    </row>
    <row r="40" spans="1:12" x14ac:dyDescent="0.2">
      <c r="A40" s="4" t="s">
        <v>118</v>
      </c>
      <c r="B40" s="4" t="s">
        <v>118</v>
      </c>
      <c r="C40" s="5" t="s">
        <v>138</v>
      </c>
      <c r="D40" s="6" t="s">
        <v>139</v>
      </c>
      <c r="E40" s="7" t="s">
        <v>35</v>
      </c>
      <c r="F40" s="7" t="s">
        <v>35</v>
      </c>
      <c r="G40" s="6" t="s">
        <v>140</v>
      </c>
      <c r="H40" s="8" t="s">
        <v>28</v>
      </c>
      <c r="I40" s="9"/>
      <c r="J40" s="10"/>
      <c r="K40" s="10"/>
      <c r="L40" s="11"/>
    </row>
    <row r="41" spans="1:12" ht="28" x14ac:dyDescent="0.2">
      <c r="A41" s="4" t="s">
        <v>118</v>
      </c>
      <c r="B41" s="4" t="s">
        <v>118</v>
      </c>
      <c r="C41" s="5" t="s">
        <v>141</v>
      </c>
      <c r="D41" s="6" t="s">
        <v>142</v>
      </c>
      <c r="E41" s="7" t="s">
        <v>31</v>
      </c>
      <c r="F41" s="7" t="s">
        <v>35</v>
      </c>
      <c r="G41" s="6"/>
      <c r="H41" s="8" t="s">
        <v>28</v>
      </c>
      <c r="I41" s="9"/>
      <c r="J41" s="10"/>
      <c r="K41" s="10"/>
      <c r="L41" s="11"/>
    </row>
    <row r="42" spans="1:12" ht="28" x14ac:dyDescent="0.2">
      <c r="A42" s="4" t="s">
        <v>118</v>
      </c>
      <c r="B42" s="4" t="s">
        <v>118</v>
      </c>
      <c r="C42" s="5" t="s">
        <v>143</v>
      </c>
      <c r="D42" s="6" t="s">
        <v>144</v>
      </c>
      <c r="E42" s="7" t="s">
        <v>26</v>
      </c>
      <c r="F42" s="7" t="s">
        <v>31</v>
      </c>
      <c r="G42" s="6" t="s">
        <v>145</v>
      </c>
      <c r="H42" s="8" t="s">
        <v>28</v>
      </c>
      <c r="I42" s="9"/>
      <c r="J42" s="10"/>
      <c r="K42" s="10"/>
      <c r="L42" s="11"/>
    </row>
    <row r="43" spans="1:12" ht="28" x14ac:dyDescent="0.2">
      <c r="A43" s="4" t="s">
        <v>118</v>
      </c>
      <c r="B43" s="4" t="s">
        <v>118</v>
      </c>
      <c r="C43" s="5" t="s">
        <v>146</v>
      </c>
      <c r="D43" s="6" t="s">
        <v>147</v>
      </c>
      <c r="E43" s="7" t="s">
        <v>35</v>
      </c>
      <c r="F43" s="7" t="s">
        <v>35</v>
      </c>
      <c r="G43" s="6" t="s">
        <v>148</v>
      </c>
      <c r="H43" s="8" t="s">
        <v>28</v>
      </c>
      <c r="I43" s="9"/>
      <c r="J43" s="10"/>
      <c r="K43" s="10"/>
      <c r="L43" s="11"/>
    </row>
    <row r="44" spans="1:12" x14ac:dyDescent="0.2">
      <c r="A44" s="4" t="s">
        <v>118</v>
      </c>
      <c r="B44" s="4" t="s">
        <v>118</v>
      </c>
      <c r="C44" s="5" t="s">
        <v>149</v>
      </c>
      <c r="D44" s="6" t="s">
        <v>150</v>
      </c>
      <c r="E44" s="7" t="s">
        <v>35</v>
      </c>
      <c r="F44" s="7" t="s">
        <v>31</v>
      </c>
      <c r="G44" s="6" t="s">
        <v>151</v>
      </c>
      <c r="H44" s="8" t="s">
        <v>28</v>
      </c>
      <c r="I44" s="9"/>
      <c r="J44" s="10"/>
      <c r="K44" s="10"/>
      <c r="L44" s="11"/>
    </row>
    <row r="45" spans="1:12" ht="42" x14ac:dyDescent="0.2">
      <c r="A45" s="4" t="s">
        <v>118</v>
      </c>
      <c r="B45" s="4" t="s">
        <v>118</v>
      </c>
      <c r="C45" s="5" t="s">
        <v>152</v>
      </c>
      <c r="D45" s="6" t="s">
        <v>153</v>
      </c>
      <c r="E45" s="7" t="s">
        <v>26</v>
      </c>
      <c r="F45" s="7" t="s">
        <v>26</v>
      </c>
      <c r="G45" s="6" t="s">
        <v>154</v>
      </c>
      <c r="H45" s="8" t="s">
        <v>28</v>
      </c>
      <c r="I45" s="9"/>
      <c r="J45" s="10"/>
      <c r="K45" s="10"/>
      <c r="L45" s="11"/>
    </row>
    <row r="46" spans="1:12" ht="28" x14ac:dyDescent="0.2">
      <c r="A46" s="4" t="s">
        <v>118</v>
      </c>
      <c r="B46" s="4" t="s">
        <v>118</v>
      </c>
      <c r="C46" s="5" t="s">
        <v>155</v>
      </c>
      <c r="D46" s="6" t="s">
        <v>156</v>
      </c>
      <c r="E46" s="7" t="s">
        <v>35</v>
      </c>
      <c r="F46" s="7" t="s">
        <v>35</v>
      </c>
      <c r="G46" s="6" t="s">
        <v>157</v>
      </c>
      <c r="H46" s="8" t="s">
        <v>28</v>
      </c>
      <c r="I46" s="9"/>
      <c r="J46" s="10"/>
      <c r="K46" s="10"/>
      <c r="L46" s="11"/>
    </row>
    <row r="47" spans="1:12" x14ac:dyDescent="0.2">
      <c r="A47" s="4" t="s">
        <v>118</v>
      </c>
      <c r="B47" s="4" t="s">
        <v>118</v>
      </c>
      <c r="C47" s="5" t="s">
        <v>158</v>
      </c>
      <c r="D47" s="6" t="s">
        <v>159</v>
      </c>
      <c r="E47" s="7" t="s">
        <v>35</v>
      </c>
      <c r="F47" s="7" t="s">
        <v>35</v>
      </c>
      <c r="G47" s="6"/>
      <c r="H47" s="8" t="s">
        <v>28</v>
      </c>
      <c r="I47" s="9"/>
      <c r="J47" s="10"/>
      <c r="K47" s="10"/>
      <c r="L47" s="11"/>
    </row>
    <row r="48" spans="1:12" ht="28" x14ac:dyDescent="0.2">
      <c r="A48" s="4" t="s">
        <v>118</v>
      </c>
      <c r="B48" s="4" t="s">
        <v>118</v>
      </c>
      <c r="C48" s="5" t="s">
        <v>160</v>
      </c>
      <c r="D48" s="6" t="s">
        <v>161</v>
      </c>
      <c r="E48" s="7" t="s">
        <v>26</v>
      </c>
      <c r="F48" s="7" t="s">
        <v>31</v>
      </c>
      <c r="G48" s="6" t="s">
        <v>162</v>
      </c>
      <c r="H48" s="8" t="s">
        <v>28</v>
      </c>
      <c r="I48" s="9"/>
      <c r="J48" s="10"/>
      <c r="K48" s="10"/>
      <c r="L48" s="11"/>
    </row>
    <row r="49" spans="1:12" ht="28" x14ac:dyDescent="0.2">
      <c r="A49" s="4" t="s">
        <v>118</v>
      </c>
      <c r="B49" s="4" t="s">
        <v>118</v>
      </c>
      <c r="C49" s="5" t="s">
        <v>163</v>
      </c>
      <c r="D49" s="6" t="s">
        <v>164</v>
      </c>
      <c r="E49" s="7" t="s">
        <v>26</v>
      </c>
      <c r="F49" s="7" t="s">
        <v>31</v>
      </c>
      <c r="G49" s="6" t="s">
        <v>165</v>
      </c>
      <c r="H49" s="8" t="s">
        <v>28</v>
      </c>
      <c r="I49" s="9"/>
      <c r="J49" s="10"/>
      <c r="K49" s="10"/>
      <c r="L49" s="11"/>
    </row>
    <row r="50" spans="1:12" ht="28" x14ac:dyDescent="0.2">
      <c r="A50" s="4" t="s">
        <v>118</v>
      </c>
      <c r="B50" s="4" t="s">
        <v>118</v>
      </c>
      <c r="C50" s="5" t="s">
        <v>166</v>
      </c>
      <c r="D50" s="6" t="s">
        <v>167</v>
      </c>
      <c r="E50" s="7" t="s">
        <v>31</v>
      </c>
      <c r="F50" s="7" t="s">
        <v>35</v>
      </c>
      <c r="G50" s="6"/>
      <c r="H50" s="8" t="s">
        <v>28</v>
      </c>
      <c r="I50" s="9"/>
      <c r="J50" s="10"/>
      <c r="K50" s="10"/>
      <c r="L50" s="11"/>
    </row>
    <row r="51" spans="1:12" x14ac:dyDescent="0.2">
      <c r="A51" s="4" t="s">
        <v>118</v>
      </c>
      <c r="B51" s="4" t="s">
        <v>118</v>
      </c>
      <c r="C51" s="5" t="s">
        <v>168</v>
      </c>
      <c r="D51" s="6" t="s">
        <v>169</v>
      </c>
      <c r="E51" s="7" t="s">
        <v>31</v>
      </c>
      <c r="F51" s="7" t="s">
        <v>35</v>
      </c>
      <c r="G51" s="6"/>
      <c r="H51" s="8" t="s">
        <v>28</v>
      </c>
      <c r="I51" s="9"/>
      <c r="J51" s="10"/>
      <c r="K51" s="10"/>
      <c r="L51" s="11"/>
    </row>
    <row r="52" spans="1:12" x14ac:dyDescent="0.2">
      <c r="A52" s="4" t="s">
        <v>118</v>
      </c>
      <c r="B52" s="4" t="s">
        <v>118</v>
      </c>
      <c r="C52" s="5" t="s">
        <v>170</v>
      </c>
      <c r="D52" s="6" t="s">
        <v>171</v>
      </c>
      <c r="E52" s="7" t="s">
        <v>35</v>
      </c>
      <c r="F52" s="7" t="s">
        <v>35</v>
      </c>
      <c r="G52" s="6"/>
      <c r="H52" s="8" t="s">
        <v>28</v>
      </c>
      <c r="I52" s="9"/>
      <c r="J52" s="10"/>
      <c r="K52" s="10"/>
      <c r="L52" s="11"/>
    </row>
    <row r="53" spans="1:12" x14ac:dyDescent="0.2">
      <c r="A53" s="4" t="s">
        <v>118</v>
      </c>
      <c r="B53" s="4" t="s">
        <v>118</v>
      </c>
      <c r="C53" s="5" t="s">
        <v>172</v>
      </c>
      <c r="D53" s="6" t="s">
        <v>173</v>
      </c>
      <c r="E53" s="7" t="s">
        <v>35</v>
      </c>
      <c r="F53" s="7" t="s">
        <v>31</v>
      </c>
      <c r="G53" s="6" t="s">
        <v>174</v>
      </c>
      <c r="H53" s="8" t="s">
        <v>28</v>
      </c>
      <c r="I53" s="9"/>
      <c r="J53" s="10"/>
      <c r="K53" s="10"/>
      <c r="L53" s="11"/>
    </row>
    <row r="54" spans="1:12" x14ac:dyDescent="0.2">
      <c r="A54" s="4" t="s">
        <v>118</v>
      </c>
      <c r="B54" s="4" t="s">
        <v>118</v>
      </c>
      <c r="C54" s="5" t="s">
        <v>175</v>
      </c>
      <c r="D54" s="6" t="s">
        <v>176</v>
      </c>
      <c r="E54" s="7" t="s">
        <v>31</v>
      </c>
      <c r="F54" s="7" t="s">
        <v>35</v>
      </c>
      <c r="G54" s="6" t="s">
        <v>177</v>
      </c>
      <c r="H54" s="8" t="s">
        <v>28</v>
      </c>
      <c r="I54" s="9"/>
      <c r="J54" s="10"/>
      <c r="K54" s="10"/>
      <c r="L54" s="11"/>
    </row>
    <row r="55" spans="1:12" ht="28" x14ac:dyDescent="0.2">
      <c r="A55" s="4" t="s">
        <v>118</v>
      </c>
      <c r="B55" s="4" t="s">
        <v>118</v>
      </c>
      <c r="C55" s="5" t="s">
        <v>178</v>
      </c>
      <c r="D55" s="6" t="s">
        <v>179</v>
      </c>
      <c r="E55" s="7" t="s">
        <v>31</v>
      </c>
      <c r="F55" s="7" t="s">
        <v>26</v>
      </c>
      <c r="G55" s="6" t="s">
        <v>180</v>
      </c>
      <c r="H55" s="8" t="s">
        <v>28</v>
      </c>
      <c r="I55" s="9"/>
      <c r="J55" s="10"/>
      <c r="K55" s="10"/>
      <c r="L55" s="11"/>
    </row>
    <row r="56" spans="1:12" x14ac:dyDescent="0.2">
      <c r="A56" s="4" t="s">
        <v>118</v>
      </c>
      <c r="B56" s="4" t="s">
        <v>118</v>
      </c>
      <c r="C56" s="5" t="s">
        <v>181</v>
      </c>
      <c r="D56" s="6" t="s">
        <v>182</v>
      </c>
      <c r="E56" s="7" t="s">
        <v>35</v>
      </c>
      <c r="F56" s="7" t="s">
        <v>35</v>
      </c>
      <c r="G56" s="6"/>
      <c r="H56" s="8" t="s">
        <v>28</v>
      </c>
      <c r="I56" s="9"/>
      <c r="J56" s="10"/>
      <c r="K56" s="10"/>
      <c r="L56" s="11"/>
    </row>
    <row r="57" spans="1:12" ht="28" x14ac:dyDescent="0.2">
      <c r="A57" s="4" t="s">
        <v>118</v>
      </c>
      <c r="B57" s="4" t="s">
        <v>118</v>
      </c>
      <c r="C57" s="5" t="s">
        <v>183</v>
      </c>
      <c r="D57" s="6" t="s">
        <v>184</v>
      </c>
      <c r="E57" s="7" t="s">
        <v>31</v>
      </c>
      <c r="F57" s="7" t="s">
        <v>35</v>
      </c>
      <c r="G57" s="6" t="s">
        <v>185</v>
      </c>
      <c r="H57" s="8" t="s">
        <v>28</v>
      </c>
      <c r="I57" s="9"/>
      <c r="J57" s="10"/>
      <c r="K57" s="10"/>
      <c r="L57" s="11"/>
    </row>
    <row r="58" spans="1:12" ht="28" x14ac:dyDescent="0.2">
      <c r="A58" s="4" t="s">
        <v>118</v>
      </c>
      <c r="B58" s="4" t="s">
        <v>118</v>
      </c>
      <c r="C58" s="5" t="s">
        <v>186</v>
      </c>
      <c r="D58" s="6" t="s">
        <v>153</v>
      </c>
      <c r="E58" s="7" t="s">
        <v>26</v>
      </c>
      <c r="F58" s="7" t="s">
        <v>26</v>
      </c>
      <c r="G58" s="6" t="s">
        <v>187</v>
      </c>
      <c r="H58" s="8" t="s">
        <v>28</v>
      </c>
      <c r="I58" s="9"/>
      <c r="J58" s="10"/>
      <c r="K58" s="10"/>
      <c r="L58" s="11"/>
    </row>
    <row r="59" spans="1:12" x14ac:dyDescent="0.2">
      <c r="A59" s="4" t="s">
        <v>118</v>
      </c>
      <c r="B59" s="4" t="s">
        <v>118</v>
      </c>
      <c r="C59" s="5" t="s">
        <v>188</v>
      </c>
      <c r="D59" s="6" t="s">
        <v>189</v>
      </c>
      <c r="E59" s="7" t="s">
        <v>31</v>
      </c>
      <c r="F59" s="7" t="s">
        <v>35</v>
      </c>
      <c r="G59" s="6" t="s">
        <v>190</v>
      </c>
      <c r="H59" s="8" t="s">
        <v>28</v>
      </c>
      <c r="I59" s="9"/>
      <c r="J59" s="10"/>
      <c r="K59" s="10"/>
      <c r="L59" s="11"/>
    </row>
    <row r="60" spans="1:12" x14ac:dyDescent="0.2">
      <c r="A60" s="4" t="s">
        <v>118</v>
      </c>
      <c r="B60" s="4" t="s">
        <v>118</v>
      </c>
      <c r="C60" s="5" t="s">
        <v>191</v>
      </c>
      <c r="D60" s="6" t="s">
        <v>192</v>
      </c>
      <c r="E60" s="7" t="s">
        <v>31</v>
      </c>
      <c r="F60" s="7" t="s">
        <v>35</v>
      </c>
      <c r="G60" s="6" t="s">
        <v>193</v>
      </c>
      <c r="H60" s="8" t="s">
        <v>28</v>
      </c>
      <c r="I60" s="9"/>
      <c r="J60" s="10"/>
      <c r="K60" s="10"/>
      <c r="L60" s="11"/>
    </row>
    <row r="61" spans="1:12" ht="42" x14ac:dyDescent="0.2">
      <c r="A61" s="4" t="s">
        <v>194</v>
      </c>
      <c r="B61" s="4" t="s">
        <v>194</v>
      </c>
      <c r="C61" s="5" t="s">
        <v>195</v>
      </c>
      <c r="D61" s="6" t="s">
        <v>196</v>
      </c>
      <c r="E61" s="7" t="s">
        <v>26</v>
      </c>
      <c r="F61" s="7" t="s">
        <v>31</v>
      </c>
      <c r="G61" s="6" t="s">
        <v>197</v>
      </c>
      <c r="H61" s="8" t="s">
        <v>28</v>
      </c>
      <c r="I61" s="9"/>
      <c r="J61" s="10"/>
      <c r="K61" s="10"/>
      <c r="L61" s="11"/>
    </row>
    <row r="62" spans="1:12" ht="28" x14ac:dyDescent="0.2">
      <c r="A62" s="4" t="s">
        <v>194</v>
      </c>
      <c r="B62" s="4" t="s">
        <v>194</v>
      </c>
      <c r="C62" s="5" t="s">
        <v>198</v>
      </c>
      <c r="D62" s="6" t="s">
        <v>199</v>
      </c>
      <c r="E62" s="7" t="s">
        <v>26</v>
      </c>
      <c r="F62" s="7" t="s">
        <v>26</v>
      </c>
      <c r="G62" s="6" t="s">
        <v>200</v>
      </c>
      <c r="H62" s="8" t="s">
        <v>28</v>
      </c>
      <c r="I62" s="9"/>
      <c r="J62" s="10"/>
      <c r="K62" s="10"/>
      <c r="L62" s="11"/>
    </row>
    <row r="63" spans="1:12" ht="28" x14ac:dyDescent="0.2">
      <c r="A63" s="4" t="s">
        <v>194</v>
      </c>
      <c r="B63" s="4" t="s">
        <v>194</v>
      </c>
      <c r="C63" s="5" t="s">
        <v>201</v>
      </c>
      <c r="D63" s="6" t="s">
        <v>202</v>
      </c>
      <c r="E63" s="7" t="s">
        <v>31</v>
      </c>
      <c r="F63" s="7" t="s">
        <v>26</v>
      </c>
      <c r="G63" s="6" t="s">
        <v>203</v>
      </c>
      <c r="H63" s="8" t="s">
        <v>28</v>
      </c>
      <c r="I63" s="9"/>
      <c r="J63" s="10"/>
      <c r="K63" s="10"/>
      <c r="L63" s="11"/>
    </row>
    <row r="64" spans="1:12" ht="28" x14ac:dyDescent="0.2">
      <c r="A64" s="4" t="s">
        <v>194</v>
      </c>
      <c r="B64" s="4" t="s">
        <v>194</v>
      </c>
      <c r="C64" s="5" t="s">
        <v>204</v>
      </c>
      <c r="D64" s="6" t="s">
        <v>205</v>
      </c>
      <c r="E64" s="7" t="s">
        <v>31</v>
      </c>
      <c r="F64" s="7" t="s">
        <v>26</v>
      </c>
      <c r="G64" s="6" t="s">
        <v>206</v>
      </c>
      <c r="H64" s="8" t="s">
        <v>28</v>
      </c>
      <c r="I64" s="9"/>
      <c r="J64" s="10"/>
      <c r="K64" s="10"/>
      <c r="L64" s="11"/>
    </row>
    <row r="65" spans="1:12" ht="42" x14ac:dyDescent="0.2">
      <c r="A65" s="4" t="s">
        <v>194</v>
      </c>
      <c r="B65" s="4" t="s">
        <v>194</v>
      </c>
      <c r="C65" s="5" t="s">
        <v>207</v>
      </c>
      <c r="D65" s="6" t="s">
        <v>208</v>
      </c>
      <c r="E65" s="7" t="s">
        <v>31</v>
      </c>
      <c r="F65" s="7" t="s">
        <v>26</v>
      </c>
      <c r="G65" s="6" t="s">
        <v>209</v>
      </c>
      <c r="H65" s="8" t="s">
        <v>28</v>
      </c>
      <c r="I65" s="9"/>
      <c r="J65" s="10"/>
      <c r="K65" s="10"/>
      <c r="L65" s="11"/>
    </row>
    <row r="66" spans="1:12" ht="28" x14ac:dyDescent="0.2">
      <c r="A66" s="4" t="s">
        <v>210</v>
      </c>
      <c r="B66" s="4" t="s">
        <v>210</v>
      </c>
      <c r="C66" s="5" t="s">
        <v>211</v>
      </c>
      <c r="D66" s="6" t="s">
        <v>212</v>
      </c>
      <c r="E66" s="7" t="s">
        <v>26</v>
      </c>
      <c r="F66" s="7" t="s">
        <v>26</v>
      </c>
      <c r="G66" s="6" t="s">
        <v>213</v>
      </c>
      <c r="H66" s="8" t="s">
        <v>28</v>
      </c>
      <c r="I66" s="9"/>
      <c r="J66" s="10"/>
      <c r="K66" s="10"/>
      <c r="L66" s="11"/>
    </row>
    <row r="67" spans="1:12" ht="28" x14ac:dyDescent="0.2">
      <c r="A67" s="4" t="s">
        <v>210</v>
      </c>
      <c r="B67" s="4" t="s">
        <v>210</v>
      </c>
      <c r="C67" s="5" t="s">
        <v>214</v>
      </c>
      <c r="D67" s="6" t="s">
        <v>215</v>
      </c>
      <c r="E67" s="7" t="s">
        <v>26</v>
      </c>
      <c r="F67" s="7" t="s">
        <v>26</v>
      </c>
      <c r="G67" s="6" t="s">
        <v>216</v>
      </c>
      <c r="H67" s="8" t="s">
        <v>28</v>
      </c>
      <c r="I67" s="9"/>
      <c r="J67" s="10"/>
      <c r="K67" s="10"/>
      <c r="L67" s="11"/>
    </row>
    <row r="68" spans="1:12" ht="28" x14ac:dyDescent="0.2">
      <c r="A68" s="4" t="s">
        <v>210</v>
      </c>
      <c r="B68" s="4" t="s">
        <v>210</v>
      </c>
      <c r="C68" s="5" t="s">
        <v>217</v>
      </c>
      <c r="D68" s="6" t="s">
        <v>218</v>
      </c>
      <c r="E68" s="7" t="s">
        <v>26</v>
      </c>
      <c r="F68" s="7" t="s">
        <v>26</v>
      </c>
      <c r="G68" s="6" t="s">
        <v>219</v>
      </c>
      <c r="H68" s="8" t="s">
        <v>28</v>
      </c>
      <c r="I68" s="9"/>
      <c r="J68" s="10"/>
      <c r="K68" s="10"/>
      <c r="L68" s="11"/>
    </row>
    <row r="69" spans="1:12" ht="28" x14ac:dyDescent="0.2">
      <c r="A69" s="4" t="s">
        <v>210</v>
      </c>
      <c r="B69" s="4" t="s">
        <v>210</v>
      </c>
      <c r="C69" s="5" t="s">
        <v>220</v>
      </c>
      <c r="D69" s="6" t="s">
        <v>221</v>
      </c>
      <c r="E69" s="7" t="s">
        <v>26</v>
      </c>
      <c r="F69" s="7" t="s">
        <v>26</v>
      </c>
      <c r="G69" s="6" t="s">
        <v>222</v>
      </c>
      <c r="H69" s="8" t="s">
        <v>28</v>
      </c>
      <c r="I69" s="9"/>
      <c r="J69" s="10"/>
      <c r="K69" s="10"/>
      <c r="L69" s="11"/>
    </row>
    <row r="70" spans="1:12" ht="28" x14ac:dyDescent="0.2">
      <c r="A70" s="4" t="s">
        <v>210</v>
      </c>
      <c r="B70" s="4" t="s">
        <v>210</v>
      </c>
      <c r="C70" s="5" t="s">
        <v>223</v>
      </c>
      <c r="D70" s="6" t="s">
        <v>224</v>
      </c>
      <c r="E70" s="7" t="s">
        <v>26</v>
      </c>
      <c r="F70" s="7" t="s">
        <v>26</v>
      </c>
      <c r="G70" s="6" t="s">
        <v>225</v>
      </c>
      <c r="H70" s="8" t="s">
        <v>28</v>
      </c>
      <c r="I70" s="9"/>
      <c r="J70" s="10"/>
      <c r="K70" s="10"/>
      <c r="L70" s="11"/>
    </row>
    <row r="71" spans="1:12" x14ac:dyDescent="0.2">
      <c r="A71" s="4" t="s">
        <v>226</v>
      </c>
      <c r="B71" s="4" t="s">
        <v>227</v>
      </c>
      <c r="C71" s="5" t="s">
        <v>228</v>
      </c>
      <c r="D71" s="6" t="s">
        <v>229</v>
      </c>
      <c r="E71" s="7" t="s">
        <v>31</v>
      </c>
      <c r="F71" s="7" t="s">
        <v>31</v>
      </c>
      <c r="G71" s="6" t="s">
        <v>230</v>
      </c>
      <c r="H71" s="8" t="s">
        <v>28</v>
      </c>
      <c r="I71" s="9"/>
      <c r="J71" s="10"/>
      <c r="K71" s="10"/>
      <c r="L71" s="11"/>
    </row>
    <row r="72" spans="1:12" ht="28" x14ac:dyDescent="0.2">
      <c r="A72" s="4" t="s">
        <v>226</v>
      </c>
      <c r="B72" s="4" t="s">
        <v>227</v>
      </c>
      <c r="C72" s="5" t="s">
        <v>231</v>
      </c>
      <c r="D72" s="6" t="s">
        <v>232</v>
      </c>
      <c r="E72" s="7" t="s">
        <v>31</v>
      </c>
      <c r="F72" s="7" t="s">
        <v>31</v>
      </c>
      <c r="G72" s="6" t="s">
        <v>233</v>
      </c>
      <c r="H72" s="8" t="s">
        <v>28</v>
      </c>
      <c r="I72" s="9"/>
      <c r="J72" s="10"/>
      <c r="K72" s="10"/>
      <c r="L72" s="11"/>
    </row>
    <row r="73" spans="1:12" x14ac:dyDescent="0.2">
      <c r="A73" s="4" t="s">
        <v>226</v>
      </c>
      <c r="B73" s="4" t="s">
        <v>227</v>
      </c>
      <c r="C73" s="5" t="s">
        <v>234</v>
      </c>
      <c r="D73" s="6" t="s">
        <v>235</v>
      </c>
      <c r="E73" s="7" t="s">
        <v>31</v>
      </c>
      <c r="F73" s="7" t="s">
        <v>31</v>
      </c>
      <c r="G73" s="6"/>
      <c r="H73" s="8" t="s">
        <v>28</v>
      </c>
      <c r="I73" s="9"/>
      <c r="J73" s="10"/>
      <c r="K73" s="10"/>
      <c r="L73" s="11"/>
    </row>
    <row r="74" spans="1:12" x14ac:dyDescent="0.2">
      <c r="A74" s="4" t="s">
        <v>226</v>
      </c>
      <c r="B74" s="4" t="s">
        <v>227</v>
      </c>
      <c r="C74" s="5" t="s">
        <v>236</v>
      </c>
      <c r="D74" s="6" t="s">
        <v>237</v>
      </c>
      <c r="E74" s="7" t="s">
        <v>31</v>
      </c>
      <c r="F74" s="7" t="s">
        <v>31</v>
      </c>
      <c r="G74" s="6" t="s">
        <v>238</v>
      </c>
      <c r="H74" s="8" t="s">
        <v>28</v>
      </c>
      <c r="I74" s="9"/>
      <c r="J74" s="10"/>
      <c r="K74" s="10"/>
      <c r="L74" s="11"/>
    </row>
    <row r="75" spans="1:12" ht="28" x14ac:dyDescent="0.2">
      <c r="A75" s="4" t="s">
        <v>226</v>
      </c>
      <c r="B75" s="4" t="s">
        <v>239</v>
      </c>
      <c r="C75" s="5" t="s">
        <v>240</v>
      </c>
      <c r="D75" s="6" t="s">
        <v>241</v>
      </c>
      <c r="E75" s="7" t="s">
        <v>31</v>
      </c>
      <c r="F75" s="7" t="s">
        <v>31</v>
      </c>
      <c r="G75" s="6" t="s">
        <v>242</v>
      </c>
      <c r="H75" s="8" t="s">
        <v>28</v>
      </c>
      <c r="I75" s="9"/>
      <c r="J75" s="10"/>
      <c r="K75" s="10"/>
      <c r="L75" s="11"/>
    </row>
    <row r="76" spans="1:12" x14ac:dyDescent="0.2">
      <c r="A76" s="4" t="s">
        <v>226</v>
      </c>
      <c r="B76" s="4" t="s">
        <v>239</v>
      </c>
      <c r="C76" s="5" t="s">
        <v>243</v>
      </c>
      <c r="D76" s="6" t="s">
        <v>244</v>
      </c>
      <c r="E76" s="7" t="s">
        <v>31</v>
      </c>
      <c r="F76" s="7" t="s">
        <v>31</v>
      </c>
      <c r="G76" s="6" t="s">
        <v>245</v>
      </c>
      <c r="H76" s="8" t="s">
        <v>28</v>
      </c>
      <c r="I76" s="9"/>
      <c r="J76" s="10"/>
      <c r="K76" s="10"/>
      <c r="L76" s="11"/>
    </row>
    <row r="77" spans="1:12" ht="28" x14ac:dyDescent="0.2">
      <c r="A77" s="4" t="s">
        <v>226</v>
      </c>
      <c r="B77" s="4" t="s">
        <v>246</v>
      </c>
      <c r="C77" s="5" t="s">
        <v>247</v>
      </c>
      <c r="D77" s="6" t="s">
        <v>248</v>
      </c>
      <c r="E77" s="7" t="s">
        <v>31</v>
      </c>
      <c r="F77" s="7" t="s">
        <v>31</v>
      </c>
      <c r="G77" s="6" t="s">
        <v>249</v>
      </c>
      <c r="H77" s="8" t="s">
        <v>28</v>
      </c>
      <c r="I77" s="9">
        <v>46298</v>
      </c>
      <c r="J77" s="15" t="s">
        <v>336</v>
      </c>
      <c r="K77" s="15" t="s">
        <v>337</v>
      </c>
      <c r="L77" s="16" t="s">
        <v>338</v>
      </c>
    </row>
    <row r="78" spans="1:12" ht="28" x14ac:dyDescent="0.2">
      <c r="A78" s="4" t="s">
        <v>226</v>
      </c>
      <c r="B78" s="4" t="s">
        <v>250</v>
      </c>
      <c r="C78" s="5" t="s">
        <v>251</v>
      </c>
      <c r="D78" s="6" t="s">
        <v>252</v>
      </c>
      <c r="E78" s="7" t="s">
        <v>31</v>
      </c>
      <c r="F78" s="7" t="s">
        <v>35</v>
      </c>
      <c r="G78" s="6"/>
      <c r="H78" s="8" t="s">
        <v>28</v>
      </c>
      <c r="I78" s="9"/>
      <c r="J78" s="10"/>
      <c r="K78" s="10"/>
      <c r="L78" s="11"/>
    </row>
    <row r="79" spans="1:12" x14ac:dyDescent="0.2">
      <c r="A79" s="4" t="s">
        <v>226</v>
      </c>
      <c r="B79" s="4" t="s">
        <v>253</v>
      </c>
      <c r="C79" s="5" t="s">
        <v>254</v>
      </c>
      <c r="D79" s="6" t="s">
        <v>255</v>
      </c>
      <c r="E79" s="7" t="s">
        <v>31</v>
      </c>
      <c r="F79" s="7" t="s">
        <v>31</v>
      </c>
      <c r="G79" s="6" t="s">
        <v>256</v>
      </c>
      <c r="H79" s="8" t="s">
        <v>28</v>
      </c>
      <c r="I79" s="9"/>
      <c r="J79" s="10"/>
      <c r="K79" s="10"/>
      <c r="L79" s="11"/>
    </row>
    <row r="80" spans="1:12" ht="42" x14ac:dyDescent="0.2">
      <c r="A80" s="4" t="s">
        <v>226</v>
      </c>
      <c r="B80" s="4" t="s">
        <v>257</v>
      </c>
      <c r="C80" s="5" t="s">
        <v>258</v>
      </c>
      <c r="D80" s="6" t="s">
        <v>259</v>
      </c>
      <c r="E80" s="7" t="s">
        <v>35</v>
      </c>
      <c r="F80" s="7" t="s">
        <v>31</v>
      </c>
      <c r="G80" s="6" t="s">
        <v>260</v>
      </c>
      <c r="H80" s="8" t="s">
        <v>28</v>
      </c>
      <c r="I80" s="9"/>
      <c r="J80" s="10"/>
      <c r="K80" s="10"/>
      <c r="L80" s="11"/>
    </row>
    <row r="81" spans="1:12" ht="28" x14ac:dyDescent="0.2">
      <c r="A81" s="4" t="s">
        <v>226</v>
      </c>
      <c r="B81" s="4" t="s">
        <v>257</v>
      </c>
      <c r="C81" s="5" t="s">
        <v>261</v>
      </c>
      <c r="D81" s="6" t="s">
        <v>259</v>
      </c>
      <c r="E81" s="7" t="s">
        <v>31</v>
      </c>
      <c r="F81" s="7" t="s">
        <v>31</v>
      </c>
      <c r="G81" s="6" t="s">
        <v>262</v>
      </c>
      <c r="H81" s="8" t="s">
        <v>28</v>
      </c>
      <c r="I81" s="9"/>
      <c r="J81" s="10"/>
      <c r="K81" s="10"/>
      <c r="L81" s="11"/>
    </row>
    <row r="82" spans="1:12" ht="42" x14ac:dyDescent="0.2">
      <c r="A82" s="4" t="s">
        <v>226</v>
      </c>
      <c r="B82" s="4" t="s">
        <v>257</v>
      </c>
      <c r="C82" s="5" t="s">
        <v>263</v>
      </c>
      <c r="D82" s="6" t="s">
        <v>264</v>
      </c>
      <c r="E82" s="7" t="s">
        <v>26</v>
      </c>
      <c r="F82" s="7" t="s">
        <v>31</v>
      </c>
      <c r="G82" s="6" t="s">
        <v>265</v>
      </c>
      <c r="H82" s="8" t="s">
        <v>28</v>
      </c>
      <c r="I82" s="9"/>
      <c r="J82" s="10"/>
      <c r="K82" s="10"/>
      <c r="L82" s="11"/>
    </row>
    <row r="83" spans="1:12" ht="28" x14ac:dyDescent="0.2">
      <c r="A83" s="4" t="s">
        <v>226</v>
      </c>
      <c r="B83" s="4" t="s">
        <v>257</v>
      </c>
      <c r="C83" s="5" t="s">
        <v>266</v>
      </c>
      <c r="D83" s="6" t="s">
        <v>267</v>
      </c>
      <c r="E83" s="7" t="s">
        <v>35</v>
      </c>
      <c r="F83" s="7" t="s">
        <v>31</v>
      </c>
      <c r="G83" s="6" t="s">
        <v>268</v>
      </c>
      <c r="H83" s="8" t="s">
        <v>28</v>
      </c>
      <c r="I83" s="9"/>
      <c r="J83" s="10"/>
      <c r="K83" s="10"/>
      <c r="L83" s="11"/>
    </row>
    <row r="84" spans="1:12" ht="42" x14ac:dyDescent="0.2">
      <c r="A84" s="4" t="s">
        <v>226</v>
      </c>
      <c r="B84" s="4" t="s">
        <v>257</v>
      </c>
      <c r="C84" s="5" t="s">
        <v>269</v>
      </c>
      <c r="D84" s="6" t="s">
        <v>270</v>
      </c>
      <c r="E84" s="7" t="s">
        <v>26</v>
      </c>
      <c r="F84" s="7" t="s">
        <v>31</v>
      </c>
      <c r="G84" s="6" t="s">
        <v>271</v>
      </c>
      <c r="H84" s="8" t="s">
        <v>28</v>
      </c>
      <c r="I84" s="9"/>
      <c r="J84" s="10"/>
      <c r="K84" s="10"/>
      <c r="L84" s="11"/>
    </row>
    <row r="85" spans="1:12" ht="42" x14ac:dyDescent="0.2">
      <c r="A85" s="4" t="s">
        <v>226</v>
      </c>
      <c r="B85" s="4" t="s">
        <v>257</v>
      </c>
      <c r="C85" s="5" t="s">
        <v>272</v>
      </c>
      <c r="D85" s="6" t="s">
        <v>273</v>
      </c>
      <c r="E85" s="7" t="s">
        <v>26</v>
      </c>
      <c r="F85" s="7" t="s">
        <v>31</v>
      </c>
      <c r="G85" s="6" t="s">
        <v>274</v>
      </c>
      <c r="H85" s="8" t="s">
        <v>28</v>
      </c>
      <c r="I85" s="9"/>
      <c r="J85" s="10"/>
      <c r="K85" s="10"/>
      <c r="L85" s="11"/>
    </row>
    <row r="86" spans="1:12" ht="42" x14ac:dyDescent="0.2">
      <c r="A86" s="4" t="s">
        <v>226</v>
      </c>
      <c r="B86" s="4" t="s">
        <v>257</v>
      </c>
      <c r="C86" s="5" t="s">
        <v>275</v>
      </c>
      <c r="D86" s="6" t="s">
        <v>253</v>
      </c>
      <c r="E86" s="7" t="s">
        <v>26</v>
      </c>
      <c r="F86" s="7" t="s">
        <v>31</v>
      </c>
      <c r="G86" s="6" t="s">
        <v>276</v>
      </c>
      <c r="H86" s="8" t="s">
        <v>28</v>
      </c>
      <c r="I86" s="9"/>
      <c r="J86" s="10"/>
      <c r="K86" s="10"/>
      <c r="L86" s="11"/>
    </row>
    <row r="87" spans="1:12" ht="42" x14ac:dyDescent="0.2">
      <c r="A87" s="4" t="s">
        <v>226</v>
      </c>
      <c r="B87" s="4" t="s">
        <v>257</v>
      </c>
      <c r="C87" s="5" t="s">
        <v>277</v>
      </c>
      <c r="D87" s="6" t="s">
        <v>278</v>
      </c>
      <c r="E87" s="7" t="s">
        <v>26</v>
      </c>
      <c r="F87" s="7" t="s">
        <v>31</v>
      </c>
      <c r="G87" s="6" t="s">
        <v>279</v>
      </c>
      <c r="H87" s="8" t="s">
        <v>28</v>
      </c>
      <c r="I87" s="9"/>
      <c r="J87" s="10"/>
      <c r="K87" s="10"/>
      <c r="L87" s="11"/>
    </row>
    <row r="88" spans="1:12" ht="28" x14ac:dyDescent="0.2">
      <c r="A88" s="4" t="s">
        <v>226</v>
      </c>
      <c r="B88" s="4" t="s">
        <v>257</v>
      </c>
      <c r="C88" s="5" t="s">
        <v>280</v>
      </c>
      <c r="D88" s="6" t="s">
        <v>281</v>
      </c>
      <c r="E88" s="7" t="s">
        <v>26</v>
      </c>
      <c r="F88" s="7" t="s">
        <v>31</v>
      </c>
      <c r="G88" s="6" t="s">
        <v>282</v>
      </c>
      <c r="H88" s="8" t="s">
        <v>28</v>
      </c>
      <c r="I88" s="9"/>
      <c r="J88" s="10"/>
      <c r="K88" s="10"/>
      <c r="L88" s="11"/>
    </row>
    <row r="89" spans="1:12" ht="28" x14ac:dyDescent="0.2">
      <c r="A89" s="4" t="s">
        <v>226</v>
      </c>
      <c r="B89" s="4" t="s">
        <v>257</v>
      </c>
      <c r="C89" s="5" t="s">
        <v>283</v>
      </c>
      <c r="D89" s="6" t="s">
        <v>284</v>
      </c>
      <c r="E89" s="7" t="s">
        <v>26</v>
      </c>
      <c r="F89" s="7" t="s">
        <v>31</v>
      </c>
      <c r="G89" s="6" t="s">
        <v>285</v>
      </c>
      <c r="H89" s="8" t="s">
        <v>28</v>
      </c>
      <c r="I89" s="9"/>
      <c r="J89" s="10"/>
      <c r="K89" s="10"/>
      <c r="L89" s="11"/>
    </row>
    <row r="90" spans="1:12" ht="28" x14ac:dyDescent="0.2">
      <c r="A90" s="4" t="s">
        <v>226</v>
      </c>
      <c r="B90" s="4" t="s">
        <v>257</v>
      </c>
      <c r="C90" s="5" t="s">
        <v>286</v>
      </c>
      <c r="D90" s="6" t="s">
        <v>287</v>
      </c>
      <c r="E90" s="7" t="s">
        <v>26</v>
      </c>
      <c r="F90" s="7" t="s">
        <v>31</v>
      </c>
      <c r="G90" s="6" t="s">
        <v>288</v>
      </c>
      <c r="H90" s="8" t="s">
        <v>28</v>
      </c>
      <c r="I90" s="9"/>
      <c r="J90" s="10"/>
      <c r="K90" s="10"/>
      <c r="L90" s="11"/>
    </row>
    <row r="91" spans="1:12" ht="42" x14ac:dyDescent="0.2">
      <c r="A91" s="4" t="s">
        <v>226</v>
      </c>
      <c r="B91" s="4" t="s">
        <v>257</v>
      </c>
      <c r="C91" s="5" t="s">
        <v>289</v>
      </c>
      <c r="D91" s="6" t="s">
        <v>270</v>
      </c>
      <c r="E91" s="7" t="s">
        <v>26</v>
      </c>
      <c r="F91" s="7" t="s">
        <v>31</v>
      </c>
      <c r="G91" s="6" t="s">
        <v>290</v>
      </c>
      <c r="H91" s="8" t="s">
        <v>28</v>
      </c>
      <c r="I91" s="9"/>
      <c r="J91" s="10"/>
      <c r="K91" s="10"/>
      <c r="L91" s="11"/>
    </row>
    <row r="92" spans="1:12" x14ac:dyDescent="0.2">
      <c r="A92" s="4" t="s">
        <v>226</v>
      </c>
      <c r="B92" s="4" t="s">
        <v>291</v>
      </c>
      <c r="C92" s="5" t="s">
        <v>292</v>
      </c>
      <c r="D92" s="6" t="s">
        <v>293</v>
      </c>
      <c r="E92" s="7" t="s">
        <v>31</v>
      </c>
      <c r="F92" s="7" t="s">
        <v>31</v>
      </c>
      <c r="G92" s="6"/>
      <c r="H92" s="8" t="s">
        <v>28</v>
      </c>
      <c r="I92" s="9"/>
      <c r="J92" s="10"/>
      <c r="K92" s="10"/>
      <c r="L92" s="11"/>
    </row>
    <row r="93" spans="1:12" x14ac:dyDescent="0.2">
      <c r="A93" s="4" t="s">
        <v>226</v>
      </c>
      <c r="B93" s="4" t="s">
        <v>294</v>
      </c>
      <c r="C93" s="5" t="s">
        <v>295</v>
      </c>
      <c r="D93" s="6" t="s">
        <v>296</v>
      </c>
      <c r="E93" s="7" t="s">
        <v>35</v>
      </c>
      <c r="F93" s="7" t="s">
        <v>31</v>
      </c>
      <c r="G93" s="6"/>
      <c r="H93" s="8" t="s">
        <v>28</v>
      </c>
      <c r="I93" s="9"/>
      <c r="J93" s="10"/>
      <c r="K93" s="10"/>
      <c r="L93" s="11"/>
    </row>
    <row r="94" spans="1:12" x14ac:dyDescent="0.2">
      <c r="A94" s="4" t="s">
        <v>226</v>
      </c>
      <c r="B94" s="4" t="s">
        <v>297</v>
      </c>
      <c r="C94" s="5" t="s">
        <v>298</v>
      </c>
      <c r="D94" s="6" t="s">
        <v>299</v>
      </c>
      <c r="E94" s="7" t="s">
        <v>31</v>
      </c>
      <c r="F94" s="7" t="s">
        <v>31</v>
      </c>
      <c r="G94" s="6" t="s">
        <v>300</v>
      </c>
      <c r="H94" s="8" t="s">
        <v>28</v>
      </c>
      <c r="I94" s="9"/>
      <c r="J94" s="10"/>
      <c r="K94" s="10"/>
      <c r="L94" s="11"/>
    </row>
    <row r="95" spans="1:12" x14ac:dyDescent="0.2">
      <c r="A95" s="4" t="s">
        <v>226</v>
      </c>
      <c r="B95" s="4" t="s">
        <v>301</v>
      </c>
      <c r="C95" s="5" t="s">
        <v>302</v>
      </c>
      <c r="D95" s="6" t="s">
        <v>303</v>
      </c>
      <c r="E95" s="7" t="s">
        <v>31</v>
      </c>
      <c r="F95" s="7" t="s">
        <v>35</v>
      </c>
      <c r="G95" s="6" t="s">
        <v>304</v>
      </c>
      <c r="H95" s="8" t="s">
        <v>28</v>
      </c>
      <c r="I95" s="9"/>
      <c r="J95" s="10"/>
      <c r="K95" s="10"/>
      <c r="L95" s="11"/>
    </row>
    <row r="96" spans="1:12" x14ac:dyDescent="0.2">
      <c r="A96" s="4" t="s">
        <v>226</v>
      </c>
      <c r="B96" s="4" t="s">
        <v>305</v>
      </c>
      <c r="C96" s="5" t="s">
        <v>306</v>
      </c>
      <c r="D96" s="6" t="s">
        <v>307</v>
      </c>
      <c r="E96" s="7" t="s">
        <v>35</v>
      </c>
      <c r="F96" s="7" t="s">
        <v>31</v>
      </c>
      <c r="G96" s="6"/>
      <c r="H96" s="8" t="s">
        <v>28</v>
      </c>
      <c r="I96" s="9"/>
      <c r="J96" s="10"/>
      <c r="K96" s="10"/>
      <c r="L96" s="11"/>
    </row>
    <row r="97" spans="1:12" x14ac:dyDescent="0.2">
      <c r="A97" s="4" t="s">
        <v>308</v>
      </c>
      <c r="B97" s="4" t="s">
        <v>309</v>
      </c>
      <c r="C97" s="5" t="s">
        <v>310</v>
      </c>
      <c r="D97" s="6" t="s">
        <v>311</v>
      </c>
      <c r="E97" s="7" t="s">
        <v>31</v>
      </c>
      <c r="F97" s="7" t="s">
        <v>31</v>
      </c>
      <c r="G97" s="17" t="s">
        <v>339</v>
      </c>
      <c r="H97" s="8" t="s">
        <v>28</v>
      </c>
      <c r="I97" s="9"/>
      <c r="J97" s="10"/>
      <c r="K97" s="10"/>
      <c r="L97" s="11"/>
    </row>
    <row r="98" spans="1:12" x14ac:dyDescent="0.2">
      <c r="A98" s="4" t="s">
        <v>308</v>
      </c>
      <c r="B98" s="4" t="s">
        <v>312</v>
      </c>
      <c r="C98" s="5" t="s">
        <v>313</v>
      </c>
      <c r="D98" s="6" t="s">
        <v>314</v>
      </c>
      <c r="E98" s="7" t="s">
        <v>31</v>
      </c>
      <c r="F98" s="7" t="s">
        <v>31</v>
      </c>
      <c r="G98" s="6"/>
      <c r="H98" s="8" t="s">
        <v>28</v>
      </c>
      <c r="I98" s="9"/>
      <c r="J98" s="10"/>
      <c r="K98" s="10"/>
      <c r="L98" s="11"/>
    </row>
    <row r="99" spans="1:12" x14ac:dyDescent="0.2">
      <c r="A99" s="4" t="s">
        <v>308</v>
      </c>
      <c r="B99" s="4" t="s">
        <v>315</v>
      </c>
      <c r="C99" s="5" t="s">
        <v>316</v>
      </c>
      <c r="D99" s="6" t="s">
        <v>317</v>
      </c>
      <c r="E99" s="7" t="s">
        <v>31</v>
      </c>
      <c r="F99" s="7" t="s">
        <v>31</v>
      </c>
      <c r="G99" s="6"/>
      <c r="H99" s="8" t="s">
        <v>28</v>
      </c>
      <c r="I99" s="9"/>
      <c r="J99" s="10"/>
      <c r="K99" s="10"/>
      <c r="L99" s="11"/>
    </row>
    <row r="100" spans="1:12" ht="28" x14ac:dyDescent="0.2">
      <c r="A100" s="4" t="s">
        <v>308</v>
      </c>
      <c r="B100" s="4" t="s">
        <v>318</v>
      </c>
      <c r="C100" s="5" t="s">
        <v>319</v>
      </c>
      <c r="D100" s="6" t="s">
        <v>320</v>
      </c>
      <c r="E100" s="7" t="s">
        <v>31</v>
      </c>
      <c r="F100" s="7" t="s">
        <v>31</v>
      </c>
      <c r="G100" s="6"/>
      <c r="H100" s="8" t="s">
        <v>28</v>
      </c>
      <c r="I100" s="9"/>
      <c r="J100" s="10"/>
      <c r="K100" s="10"/>
      <c r="L100" s="11"/>
    </row>
    <row r="101" spans="1:12" x14ac:dyDescent="0.2">
      <c r="A101" s="4" t="s">
        <v>308</v>
      </c>
      <c r="B101" s="4" t="s">
        <v>318</v>
      </c>
      <c r="C101" s="5" t="s">
        <v>321</v>
      </c>
      <c r="D101" s="6" t="s">
        <v>322</v>
      </c>
      <c r="E101" s="7" t="s">
        <v>31</v>
      </c>
      <c r="F101" s="7" t="s">
        <v>35</v>
      </c>
      <c r="G101" s="6"/>
      <c r="H101" s="8" t="s">
        <v>28</v>
      </c>
      <c r="I101" s="9"/>
      <c r="J101" s="10"/>
      <c r="K101" s="10"/>
      <c r="L101" s="11"/>
    </row>
    <row r="102" spans="1:12" x14ac:dyDescent="0.2">
      <c r="A102" s="4" t="s">
        <v>308</v>
      </c>
      <c r="B102" s="4" t="s">
        <v>323</v>
      </c>
      <c r="C102" s="5" t="s">
        <v>324</v>
      </c>
      <c r="D102" s="6" t="s">
        <v>325</v>
      </c>
      <c r="E102" s="7" t="s">
        <v>31</v>
      </c>
      <c r="F102" s="7" t="s">
        <v>31</v>
      </c>
      <c r="G102" s="6"/>
      <c r="H102" s="8" t="s">
        <v>28</v>
      </c>
      <c r="I102" s="9"/>
      <c r="J102" s="10"/>
      <c r="K102" s="10"/>
      <c r="L102" s="11"/>
    </row>
    <row r="103" spans="1:12" x14ac:dyDescent="0.2">
      <c r="A103" s="4" t="s">
        <v>308</v>
      </c>
      <c r="B103" s="4" t="s">
        <v>326</v>
      </c>
      <c r="C103" s="5" t="s">
        <v>327</v>
      </c>
      <c r="D103" s="6" t="s">
        <v>328</v>
      </c>
      <c r="E103" s="7" t="s">
        <v>35</v>
      </c>
      <c r="F103" s="7" t="s">
        <v>31</v>
      </c>
      <c r="G103" s="6"/>
      <c r="H103" s="8" t="s">
        <v>28</v>
      </c>
      <c r="I103" s="9"/>
      <c r="J103" s="10"/>
      <c r="K103" s="10"/>
      <c r="L103" s="11"/>
    </row>
  </sheetData>
  <autoFilter ref="A1:L103" xr:uid="{00000000-0009-0000-0000-000001000000}"/>
  <conditionalFormatting sqref="E2:F103">
    <cfRule type="cellIs" dxfId="5" priority="2" operator="equal">
      <formula>"Ja"</formula>
    </cfRule>
    <cfRule type="cellIs" dxfId="4" priority="3" operator="equal">
      <formula>"Nee"</formula>
    </cfRule>
    <cfRule type="cellIs" dxfId="3" priority="4" operator="equal">
      <formula>"?"</formula>
    </cfRule>
  </conditionalFormatting>
  <conditionalFormatting sqref="J2:K103">
    <cfRule type="cellIs" dxfId="2" priority="5" operator="equal">
      <formula>"Ja"</formula>
    </cfRule>
    <cfRule type="cellIs" dxfId="1" priority="6" operator="equal">
      <formula>"Nee"</formula>
    </cfRule>
    <cfRule type="cellIs" dxfId="0" priority="7" operator="equal">
      <formula>"?"</formula>
    </cfRule>
  </conditionalFormatting>
  <dataValidations count="1">
    <dataValidation type="list" allowBlank="1" sqref="J2:K103 E2:F103" xr:uid="{00000000-0002-0000-0100-000000000000}">
      <formula1>"Ja,Nee,?"</formula1>
      <formula2>0</formula2>
    </dataValidation>
  </dataValidations>
  <hyperlinks>
    <hyperlink ref="H2" r:id="rId1" xr:uid="{00000000-0004-0000-0100-000000000000}"/>
    <hyperlink ref="H3" r:id="rId2" xr:uid="{00000000-0004-0000-0100-000001000000}"/>
    <hyperlink ref="H4" r:id="rId3" xr:uid="{00000000-0004-0000-0100-000002000000}"/>
    <hyperlink ref="H5" r:id="rId4" xr:uid="{00000000-0004-0000-0100-000003000000}"/>
    <hyperlink ref="H6" r:id="rId5" xr:uid="{00000000-0004-0000-0100-000004000000}"/>
    <hyperlink ref="H7" r:id="rId6" xr:uid="{00000000-0004-0000-0100-000005000000}"/>
    <hyperlink ref="H8" r:id="rId7" xr:uid="{00000000-0004-0000-0100-000006000000}"/>
    <hyperlink ref="H9" r:id="rId8" xr:uid="{00000000-0004-0000-0100-000007000000}"/>
    <hyperlink ref="H10" r:id="rId9" xr:uid="{00000000-0004-0000-0100-000008000000}"/>
    <hyperlink ref="H11" r:id="rId10" xr:uid="{00000000-0004-0000-0100-000009000000}"/>
    <hyperlink ref="H12" r:id="rId11" xr:uid="{00000000-0004-0000-0100-00000A000000}"/>
    <hyperlink ref="H13" r:id="rId12" xr:uid="{00000000-0004-0000-0100-00000B000000}"/>
    <hyperlink ref="H14" r:id="rId13" xr:uid="{00000000-0004-0000-0100-00000C000000}"/>
    <hyperlink ref="H15" r:id="rId14" xr:uid="{00000000-0004-0000-0100-00000D000000}"/>
    <hyperlink ref="H16" r:id="rId15" xr:uid="{00000000-0004-0000-0100-00000E000000}"/>
    <hyperlink ref="H17" r:id="rId16" xr:uid="{00000000-0004-0000-0100-00000F000000}"/>
    <hyperlink ref="H18" r:id="rId17" xr:uid="{00000000-0004-0000-0100-000010000000}"/>
    <hyperlink ref="H19" r:id="rId18" xr:uid="{00000000-0004-0000-0100-000011000000}"/>
    <hyperlink ref="H20" r:id="rId19" xr:uid="{00000000-0004-0000-0100-000012000000}"/>
    <hyperlink ref="H21" r:id="rId20" xr:uid="{00000000-0004-0000-0100-000013000000}"/>
    <hyperlink ref="H22" r:id="rId21" xr:uid="{00000000-0004-0000-0100-000014000000}"/>
    <hyperlink ref="H23" r:id="rId22" xr:uid="{00000000-0004-0000-0100-000015000000}"/>
    <hyperlink ref="H24" r:id="rId23" xr:uid="{00000000-0004-0000-0100-000016000000}"/>
    <hyperlink ref="H25" r:id="rId24" xr:uid="{00000000-0004-0000-0100-000017000000}"/>
    <hyperlink ref="H26" r:id="rId25" xr:uid="{00000000-0004-0000-0100-000018000000}"/>
    <hyperlink ref="H27" r:id="rId26" xr:uid="{00000000-0004-0000-0100-000019000000}"/>
    <hyperlink ref="H28" r:id="rId27" xr:uid="{00000000-0004-0000-0100-00001A000000}"/>
    <hyperlink ref="H29" r:id="rId28" xr:uid="{00000000-0004-0000-0100-00001B000000}"/>
    <hyperlink ref="H30" r:id="rId29" xr:uid="{00000000-0004-0000-0100-00001C000000}"/>
    <hyperlink ref="H31" r:id="rId30" xr:uid="{00000000-0004-0000-0100-00001D000000}"/>
    <hyperlink ref="H32" r:id="rId31" xr:uid="{00000000-0004-0000-0100-00001E000000}"/>
    <hyperlink ref="H33" r:id="rId32" xr:uid="{00000000-0004-0000-0100-00001F000000}"/>
    <hyperlink ref="H34" r:id="rId33" xr:uid="{00000000-0004-0000-0100-000020000000}"/>
    <hyperlink ref="H35" r:id="rId34" xr:uid="{00000000-0004-0000-0100-000021000000}"/>
    <hyperlink ref="H36" r:id="rId35" xr:uid="{00000000-0004-0000-0100-000022000000}"/>
    <hyperlink ref="H37" r:id="rId36" xr:uid="{00000000-0004-0000-0100-000023000000}"/>
    <hyperlink ref="H38" r:id="rId37" xr:uid="{00000000-0004-0000-0100-000024000000}"/>
    <hyperlink ref="H39" r:id="rId38" xr:uid="{00000000-0004-0000-0100-000025000000}"/>
    <hyperlink ref="H40" r:id="rId39" xr:uid="{00000000-0004-0000-0100-000026000000}"/>
    <hyperlink ref="H41" r:id="rId40" xr:uid="{00000000-0004-0000-0100-000027000000}"/>
    <hyperlink ref="H42" r:id="rId41" xr:uid="{00000000-0004-0000-0100-000028000000}"/>
    <hyperlink ref="H43" r:id="rId42" xr:uid="{00000000-0004-0000-0100-000029000000}"/>
    <hyperlink ref="H44" r:id="rId43" xr:uid="{00000000-0004-0000-0100-00002A000000}"/>
    <hyperlink ref="H45" r:id="rId44" xr:uid="{00000000-0004-0000-0100-00002B000000}"/>
    <hyperlink ref="H46" r:id="rId45" xr:uid="{00000000-0004-0000-0100-00002C000000}"/>
    <hyperlink ref="H47" r:id="rId46" xr:uid="{00000000-0004-0000-0100-00002D000000}"/>
    <hyperlink ref="H48" r:id="rId47" xr:uid="{00000000-0004-0000-0100-00002E000000}"/>
    <hyperlink ref="H49" r:id="rId48" xr:uid="{00000000-0004-0000-0100-00002F000000}"/>
    <hyperlink ref="H50" r:id="rId49" xr:uid="{00000000-0004-0000-0100-000030000000}"/>
    <hyperlink ref="H51" r:id="rId50" xr:uid="{00000000-0004-0000-0100-000031000000}"/>
    <hyperlink ref="H52" r:id="rId51" xr:uid="{00000000-0004-0000-0100-000032000000}"/>
    <hyperlink ref="H53" r:id="rId52" xr:uid="{00000000-0004-0000-0100-000033000000}"/>
    <hyperlink ref="H54" r:id="rId53" xr:uid="{00000000-0004-0000-0100-000034000000}"/>
    <hyperlink ref="H55" r:id="rId54" xr:uid="{00000000-0004-0000-0100-000035000000}"/>
    <hyperlink ref="H56" r:id="rId55" xr:uid="{00000000-0004-0000-0100-000036000000}"/>
    <hyperlink ref="H57" r:id="rId56" xr:uid="{00000000-0004-0000-0100-000037000000}"/>
    <hyperlink ref="H58" r:id="rId57" xr:uid="{00000000-0004-0000-0100-000038000000}"/>
    <hyperlink ref="H59" r:id="rId58" xr:uid="{00000000-0004-0000-0100-000039000000}"/>
    <hyperlink ref="H60" r:id="rId59" xr:uid="{00000000-0004-0000-0100-00003A000000}"/>
    <hyperlink ref="H61" r:id="rId60" xr:uid="{00000000-0004-0000-0100-00003B000000}"/>
    <hyperlink ref="H62" r:id="rId61" xr:uid="{00000000-0004-0000-0100-00003C000000}"/>
    <hyperlink ref="H63" r:id="rId62" xr:uid="{00000000-0004-0000-0100-00003D000000}"/>
    <hyperlink ref="H64" r:id="rId63" xr:uid="{00000000-0004-0000-0100-00003E000000}"/>
    <hyperlink ref="H65" r:id="rId64" xr:uid="{00000000-0004-0000-0100-00003F000000}"/>
    <hyperlink ref="H66" r:id="rId65" xr:uid="{00000000-0004-0000-0100-000040000000}"/>
    <hyperlink ref="H67" r:id="rId66" xr:uid="{00000000-0004-0000-0100-000041000000}"/>
    <hyperlink ref="H68" r:id="rId67" xr:uid="{00000000-0004-0000-0100-000042000000}"/>
    <hyperlink ref="H69" r:id="rId68" xr:uid="{00000000-0004-0000-0100-000043000000}"/>
    <hyperlink ref="H70" r:id="rId69" xr:uid="{00000000-0004-0000-0100-000044000000}"/>
    <hyperlink ref="H71" r:id="rId70" xr:uid="{00000000-0004-0000-0100-000045000000}"/>
    <hyperlink ref="H72" r:id="rId71" xr:uid="{00000000-0004-0000-0100-000046000000}"/>
    <hyperlink ref="H73" r:id="rId72" xr:uid="{00000000-0004-0000-0100-000047000000}"/>
    <hyperlink ref="H74" r:id="rId73" xr:uid="{00000000-0004-0000-0100-000048000000}"/>
    <hyperlink ref="H75" r:id="rId74" xr:uid="{00000000-0004-0000-0100-000049000000}"/>
    <hyperlink ref="H76" r:id="rId75" xr:uid="{00000000-0004-0000-0100-00004A000000}"/>
    <hyperlink ref="H77" r:id="rId76" xr:uid="{00000000-0004-0000-0100-00004B000000}"/>
    <hyperlink ref="H78" r:id="rId77" xr:uid="{00000000-0004-0000-0100-00004C000000}"/>
    <hyperlink ref="H79" r:id="rId78" xr:uid="{00000000-0004-0000-0100-00004D000000}"/>
    <hyperlink ref="H80" r:id="rId79" xr:uid="{00000000-0004-0000-0100-00004E000000}"/>
    <hyperlink ref="H81" r:id="rId80" xr:uid="{00000000-0004-0000-0100-00004F000000}"/>
    <hyperlink ref="H82" r:id="rId81" xr:uid="{00000000-0004-0000-0100-000050000000}"/>
    <hyperlink ref="H83" r:id="rId82" xr:uid="{00000000-0004-0000-0100-000051000000}"/>
    <hyperlink ref="H84" r:id="rId83" xr:uid="{00000000-0004-0000-0100-000052000000}"/>
    <hyperlink ref="H85" r:id="rId84" xr:uid="{00000000-0004-0000-0100-000053000000}"/>
    <hyperlink ref="H86" r:id="rId85" xr:uid="{00000000-0004-0000-0100-000054000000}"/>
    <hyperlink ref="H87" r:id="rId86" xr:uid="{00000000-0004-0000-0100-000055000000}"/>
    <hyperlink ref="H88" r:id="rId87" xr:uid="{00000000-0004-0000-0100-000056000000}"/>
    <hyperlink ref="H89" r:id="rId88" xr:uid="{00000000-0004-0000-0100-000057000000}"/>
    <hyperlink ref="H90" r:id="rId89" xr:uid="{00000000-0004-0000-0100-000058000000}"/>
    <hyperlink ref="H91" r:id="rId90" xr:uid="{00000000-0004-0000-0100-000059000000}"/>
    <hyperlink ref="H92" r:id="rId91" xr:uid="{00000000-0004-0000-0100-00005A000000}"/>
    <hyperlink ref="H93" r:id="rId92" xr:uid="{00000000-0004-0000-0100-00005B000000}"/>
    <hyperlink ref="H94" r:id="rId93" xr:uid="{00000000-0004-0000-0100-00005C000000}"/>
    <hyperlink ref="H95" r:id="rId94" xr:uid="{00000000-0004-0000-0100-00005D000000}"/>
    <hyperlink ref="H96" r:id="rId95" xr:uid="{00000000-0004-0000-0100-00005E000000}"/>
    <hyperlink ref="H97" r:id="rId96" xr:uid="{00000000-0004-0000-0100-00005F000000}"/>
    <hyperlink ref="H98" r:id="rId97" xr:uid="{00000000-0004-0000-0100-000060000000}"/>
    <hyperlink ref="H99" r:id="rId98" xr:uid="{00000000-0004-0000-0100-000061000000}"/>
    <hyperlink ref="H100" r:id="rId99" xr:uid="{00000000-0004-0000-0100-000062000000}"/>
    <hyperlink ref="H101" r:id="rId100" xr:uid="{00000000-0004-0000-0100-000063000000}"/>
    <hyperlink ref="H102" r:id="rId101" xr:uid="{00000000-0004-0000-0100-000064000000}"/>
    <hyperlink ref="H103" r:id="rId102" xr:uid="{00000000-0004-0000-0100-00006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zoomScaleNormal="100" workbookViewId="0"/>
  </sheetViews>
  <sheetFormatPr baseColWidth="10" defaultColWidth="8.6640625" defaultRowHeight="15" x14ac:dyDescent="0.2"/>
  <cols>
    <col min="1" max="1" width="20" customWidth="1"/>
    <col min="2" max="7" width="14" customWidth="1"/>
  </cols>
  <sheetData>
    <row r="1" spans="1:7" x14ac:dyDescent="0.2">
      <c r="A1" s="12" t="s">
        <v>11</v>
      </c>
      <c r="B1" s="12" t="s">
        <v>329</v>
      </c>
      <c r="C1" s="12" t="s">
        <v>330</v>
      </c>
      <c r="D1" s="12" t="s">
        <v>331</v>
      </c>
      <c r="E1" s="12" t="s">
        <v>332</v>
      </c>
      <c r="F1" s="12" t="s">
        <v>333</v>
      </c>
      <c r="G1" s="12" t="s">
        <v>334</v>
      </c>
    </row>
    <row r="2" spans="1:7" x14ac:dyDescent="0.2">
      <c r="A2" s="13" t="s">
        <v>23</v>
      </c>
      <c r="B2" s="13">
        <f>COUNTIF(Bars!$A$2:$A$103,A2)</f>
        <v>20</v>
      </c>
      <c r="C2" s="13">
        <f>COUNTIFS(Bars!$A$2:$A$103,A2,Bars!$E$2:$E$103,"Ja")</f>
        <v>13</v>
      </c>
      <c r="D2" s="13">
        <f>COUNTIFS(Bars!$A$2:$A$103,A2,Bars!$E$2:$E$103,"?")</f>
        <v>4</v>
      </c>
      <c r="E2" s="13">
        <f>COUNTIFS(Bars!$A$2:$A$103,A2,Bars!$F$2:$F$103,"Ja")</f>
        <v>5</v>
      </c>
      <c r="F2" s="13">
        <f>COUNTIFS(Bars!$A$2:$A$103,A2,Bars!$F$2:$F$103,"?")</f>
        <v>11</v>
      </c>
      <c r="G2" s="13">
        <f>COUNTIFS(Bars!$A$2:$A$103,A2,Bars!$I$2:$I$103,"&lt;&gt;")</f>
        <v>0</v>
      </c>
    </row>
    <row r="3" spans="1:7" x14ac:dyDescent="0.2">
      <c r="A3" s="13" t="s">
        <v>84</v>
      </c>
      <c r="B3" s="13">
        <f>COUNTIF(Bars!$A$2:$A$103,A3)</f>
        <v>11</v>
      </c>
      <c r="C3" s="13">
        <f>COUNTIFS(Bars!$A$2:$A$103,A3,Bars!$E$2:$E$103,"Ja")</f>
        <v>8</v>
      </c>
      <c r="D3" s="13">
        <f>COUNTIFS(Bars!$A$2:$A$103,A3,Bars!$E$2:$E$103,"?")</f>
        <v>2</v>
      </c>
      <c r="E3" s="13">
        <f>COUNTIFS(Bars!$A$2:$A$103,A3,Bars!$F$2:$F$103,"Ja")</f>
        <v>1</v>
      </c>
      <c r="F3" s="13">
        <f>COUNTIFS(Bars!$A$2:$A$103,A3,Bars!$F$2:$F$103,"?")</f>
        <v>10</v>
      </c>
      <c r="G3" s="13">
        <f>COUNTIFS(Bars!$A$2:$A$103,A3,Bars!$I$2:$I$103,"&lt;&gt;")</f>
        <v>0</v>
      </c>
    </row>
    <row r="4" spans="1:7" x14ac:dyDescent="0.2">
      <c r="A4" s="13" t="s">
        <v>118</v>
      </c>
      <c r="B4" s="13">
        <f>COUNTIF(Bars!$A$2:$A$103,A4)</f>
        <v>28</v>
      </c>
      <c r="C4" s="13">
        <f>COUNTIFS(Bars!$A$2:$A$103,A4,Bars!$E$2:$E$103,"Ja")</f>
        <v>13</v>
      </c>
      <c r="D4" s="13">
        <f>COUNTIFS(Bars!$A$2:$A$103,A4,Bars!$E$2:$E$103,"?")</f>
        <v>6</v>
      </c>
      <c r="E4" s="13">
        <f>COUNTIFS(Bars!$A$2:$A$103,A4,Bars!$F$2:$F$103,"Ja")</f>
        <v>5</v>
      </c>
      <c r="F4" s="13">
        <f>COUNTIFS(Bars!$A$2:$A$103,A4,Bars!$F$2:$F$103,"?")</f>
        <v>6</v>
      </c>
      <c r="G4" s="13">
        <f>COUNTIFS(Bars!$A$2:$A$103,A4,Bars!$I$2:$I$103,"&lt;&gt;")</f>
        <v>0</v>
      </c>
    </row>
    <row r="5" spans="1:7" x14ac:dyDescent="0.2">
      <c r="A5" s="13" t="s">
        <v>194</v>
      </c>
      <c r="B5" s="13">
        <f>COUNTIF(Bars!$A$2:$A$103,A5)</f>
        <v>5</v>
      </c>
      <c r="C5" s="13">
        <f>COUNTIFS(Bars!$A$2:$A$103,A5,Bars!$E$2:$E$103,"Ja")</f>
        <v>3</v>
      </c>
      <c r="D5" s="13">
        <f>COUNTIFS(Bars!$A$2:$A$103,A5,Bars!$E$2:$E$103,"?")</f>
        <v>2</v>
      </c>
      <c r="E5" s="13">
        <f>COUNTIFS(Bars!$A$2:$A$103,A5,Bars!$F$2:$F$103,"Ja")</f>
        <v>1</v>
      </c>
      <c r="F5" s="13">
        <f>COUNTIFS(Bars!$A$2:$A$103,A5,Bars!$F$2:$F$103,"?")</f>
        <v>4</v>
      </c>
      <c r="G5" s="13">
        <f>COUNTIFS(Bars!$A$2:$A$103,A5,Bars!$I$2:$I$103,"&lt;&gt;")</f>
        <v>0</v>
      </c>
    </row>
    <row r="6" spans="1:7" x14ac:dyDescent="0.2">
      <c r="A6" s="13" t="s">
        <v>210</v>
      </c>
      <c r="B6" s="13">
        <f>COUNTIF(Bars!$A$2:$A$103,A6)</f>
        <v>5</v>
      </c>
      <c r="C6" s="13">
        <f>COUNTIFS(Bars!$A$2:$A$103,A6,Bars!$E$2:$E$103,"Ja")</f>
        <v>0</v>
      </c>
      <c r="D6" s="13">
        <f>COUNTIFS(Bars!$A$2:$A$103,A6,Bars!$E$2:$E$103,"?")</f>
        <v>5</v>
      </c>
      <c r="E6" s="13">
        <f>COUNTIFS(Bars!$A$2:$A$103,A6,Bars!$F$2:$F$103,"Ja")</f>
        <v>0</v>
      </c>
      <c r="F6" s="13">
        <f>COUNTIFS(Bars!$A$2:$A$103,A6,Bars!$F$2:$F$103,"?")</f>
        <v>5</v>
      </c>
      <c r="G6" s="13">
        <f>COUNTIFS(Bars!$A$2:$A$103,A6,Bars!$I$2:$I$103,"&lt;&gt;")</f>
        <v>0</v>
      </c>
    </row>
    <row r="7" spans="1:7" x14ac:dyDescent="0.2">
      <c r="A7" s="13" t="s">
        <v>226</v>
      </c>
      <c r="B7" s="13">
        <f>COUNTIF(Bars!$A$2:$A$103,A7)</f>
        <v>26</v>
      </c>
      <c r="C7" s="13">
        <f>COUNTIFS(Bars!$A$2:$A$103,A7,Bars!$E$2:$E$103,"Ja")</f>
        <v>13</v>
      </c>
      <c r="D7" s="13">
        <f>COUNTIFS(Bars!$A$2:$A$103,A7,Bars!$E$2:$E$103,"?")</f>
        <v>9</v>
      </c>
      <c r="E7" s="13">
        <f>COUNTIFS(Bars!$A$2:$A$103,A7,Bars!$F$2:$F$103,"Ja")</f>
        <v>24</v>
      </c>
      <c r="F7" s="13">
        <f>COUNTIFS(Bars!$A$2:$A$103,A7,Bars!$F$2:$F$103,"?")</f>
        <v>0</v>
      </c>
      <c r="G7" s="13">
        <f>COUNTIFS(Bars!$A$2:$A$103,A7,Bars!$I$2:$I$103,"&lt;&gt;")</f>
        <v>1</v>
      </c>
    </row>
    <row r="8" spans="1:7" x14ac:dyDescent="0.2">
      <c r="A8" s="13" t="s">
        <v>308</v>
      </c>
      <c r="B8" s="13">
        <f>COUNTIF(Bars!$A$2:$A$103,A8)</f>
        <v>7</v>
      </c>
      <c r="C8" s="13">
        <f>COUNTIFS(Bars!$A$2:$A$103,A8,Bars!$E$2:$E$103,"Ja")</f>
        <v>6</v>
      </c>
      <c r="D8" s="13">
        <f>COUNTIFS(Bars!$A$2:$A$103,A8,Bars!$E$2:$E$103,"?")</f>
        <v>0</v>
      </c>
      <c r="E8" s="13">
        <f>COUNTIFS(Bars!$A$2:$A$103,A8,Bars!$F$2:$F$103,"Ja")</f>
        <v>6</v>
      </c>
      <c r="F8" s="13">
        <f>COUNTIFS(Bars!$A$2:$A$103,A8,Bars!$F$2:$F$103,"?")</f>
        <v>0</v>
      </c>
      <c r="G8" s="13">
        <f>COUNTIFS(Bars!$A$2:$A$103,A8,Bars!$I$2:$I$103,"&lt;&gt;")</f>
        <v>0</v>
      </c>
    </row>
    <row r="9" spans="1:7" x14ac:dyDescent="0.2">
      <c r="A9" s="14" t="s">
        <v>335</v>
      </c>
      <c r="B9" s="14">
        <f t="shared" ref="B9:G9" si="0">SUM(B2:B8)</f>
        <v>102</v>
      </c>
      <c r="C9" s="14">
        <f t="shared" si="0"/>
        <v>56</v>
      </c>
      <c r="D9" s="14">
        <f t="shared" si="0"/>
        <v>28</v>
      </c>
      <c r="E9" s="14">
        <f t="shared" si="0"/>
        <v>42</v>
      </c>
      <c r="F9" s="14">
        <f t="shared" si="0"/>
        <v>36</v>
      </c>
      <c r="G9" s="14">
        <f t="shared" si="0"/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Uitleg</vt:lpstr>
      <vt:lpstr>Bars</vt:lpstr>
      <vt:lpstr>Overzicht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Milan Meert</cp:lastModifiedBy>
  <cp:revision>0</cp:revision>
  <dcterms:created xsi:type="dcterms:W3CDTF">2026-10-06T13:43:49Z</dcterms:created>
  <dcterms:modified xsi:type="dcterms:W3CDTF">2026-10-06T13:46:07Z</dcterms:modified>
  <dc:language>en-US</dc:language>
</cp:coreProperties>
</file>